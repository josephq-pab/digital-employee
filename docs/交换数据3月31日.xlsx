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同业交换数据\内部版\"/>
    </mc:Choice>
  </mc:AlternateContent>
  <bookViews>
    <workbookView xWindow="-110" yWindow="-110" windowWidth="23260" windowHeight="12580"/>
  </bookViews>
  <sheets>
    <sheet name="余额" sheetId="3" r:id="rId1"/>
    <sheet name="年日均" sheetId="7" r:id="rId2"/>
  </sheets>
  <definedNames>
    <definedName name="_xlnm._FilterDatabase" localSheetId="1" hidden="1">年日均!$A$4:$AN$4</definedName>
    <definedName name="_xlnm._FilterDatabase" localSheetId="0" hidden="1">余额!$A$4:$AN$4</definedName>
    <definedName name="_xlnm.Print_Area" localSheetId="1">年日均!$A$3:$AO$16</definedName>
    <definedName name="_xlnm.Print_Area" localSheetId="0">余额!$A$3:$AO$29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4" i="7" l="1"/>
  <c r="E12" i="7"/>
  <c r="E8" i="7"/>
  <c r="E6" i="7"/>
  <c r="K15" i="7"/>
  <c r="J14" i="7"/>
  <c r="L12" i="7"/>
  <c r="K11" i="7"/>
  <c r="J10" i="7"/>
  <c r="K7" i="7"/>
  <c r="K5" i="7"/>
  <c r="E30" i="7"/>
  <c r="E29" i="7"/>
  <c r="E28" i="7"/>
  <c r="E27" i="7"/>
  <c r="E26" i="7"/>
  <c r="E25" i="7"/>
  <c r="E24" i="7"/>
  <c r="E23" i="7"/>
  <c r="E22" i="7"/>
  <c r="E21" i="7"/>
  <c r="E20" i="7"/>
  <c r="AW15" i="7"/>
  <c r="AS15" i="7"/>
  <c r="Y15" i="7"/>
  <c r="L15" i="7"/>
  <c r="J15" i="7"/>
  <c r="I15" i="7"/>
  <c r="E15" i="7"/>
  <c r="K14" i="7"/>
  <c r="AW13" i="7"/>
  <c r="AS13" i="7"/>
  <c r="Y13" i="7"/>
  <c r="L13" i="7"/>
  <c r="M13" i="7" s="1"/>
  <c r="J13" i="7"/>
  <c r="I13" i="7"/>
  <c r="E13" i="7"/>
  <c r="K12" i="7"/>
  <c r="AW11" i="7"/>
  <c r="AS11" i="7"/>
  <c r="Y11" i="7"/>
  <c r="L11" i="7"/>
  <c r="M11" i="7" s="1"/>
  <c r="J11" i="7"/>
  <c r="I11" i="7"/>
  <c r="E11" i="7"/>
  <c r="K10" i="7"/>
  <c r="E10" i="7"/>
  <c r="AW9" i="7"/>
  <c r="AS9" i="7"/>
  <c r="Y9" i="7"/>
  <c r="L9" i="7"/>
  <c r="M9" i="7" s="1"/>
  <c r="J9" i="7"/>
  <c r="I9" i="7"/>
  <c r="E9" i="7"/>
  <c r="L8" i="7"/>
  <c r="M8" i="7" s="1"/>
  <c r="K8" i="7"/>
  <c r="AW7" i="7"/>
  <c r="AS7" i="7"/>
  <c r="Y7" i="7"/>
  <c r="L7" i="7"/>
  <c r="J7" i="7"/>
  <c r="I7" i="7"/>
  <c r="E7" i="7"/>
  <c r="K6" i="7"/>
  <c r="J6" i="7"/>
  <c r="AW5" i="7"/>
  <c r="M14" i="7"/>
  <c r="E14" i="7"/>
  <c r="AW8" i="7"/>
  <c r="Y6" i="7"/>
  <c r="Y10" i="7"/>
  <c r="Y12" i="7"/>
  <c r="I6" i="7"/>
  <c r="J8" i="7"/>
  <c r="K9" i="7"/>
  <c r="I10" i="7"/>
  <c r="J12" i="7"/>
  <c r="M12" i="7"/>
  <c r="K13" i="7"/>
  <c r="M7" i="7"/>
  <c r="I14" i="7"/>
  <c r="M15" i="7"/>
  <c r="I8" i="7"/>
  <c r="L6" i="7"/>
  <c r="M6" i="7" s="1"/>
  <c r="L10" i="7"/>
  <c r="M10" i="7"/>
  <c r="I12" i="7"/>
  <c r="AW6" i="7"/>
  <c r="AW10" i="7"/>
  <c r="AS12" i="7"/>
  <c r="Y8" i="7"/>
  <c r="Y14" i="7"/>
  <c r="AS6" i="7"/>
  <c r="AS8" i="7"/>
  <c r="AS10" i="7"/>
  <c r="AS14" i="7"/>
  <c r="AW12" i="7"/>
  <c r="AW14" i="7"/>
  <c r="AO10" i="7"/>
  <c r="AS5" i="7"/>
  <c r="AK5" i="7"/>
  <c r="AO5" i="7"/>
  <c r="AK12" i="7"/>
  <c r="AK14" i="7"/>
  <c r="AO7" i="7"/>
  <c r="AO9" i="7"/>
  <c r="AO11" i="7"/>
  <c r="AO13" i="7"/>
  <c r="AO15" i="7"/>
  <c r="AO6" i="7"/>
  <c r="AO8" i="7"/>
  <c r="AO12" i="7"/>
  <c r="AO14" i="7"/>
  <c r="AG10" i="7"/>
  <c r="AK7" i="7"/>
  <c r="AK9" i="7"/>
  <c r="AK11" i="7"/>
  <c r="AK13" i="7"/>
  <c r="AK15" i="7"/>
  <c r="AK6" i="7"/>
  <c r="AK8" i="7"/>
  <c r="AK10" i="7"/>
  <c r="R6" i="7"/>
  <c r="N6" i="7" s="1"/>
  <c r="Q6" i="7" s="1"/>
  <c r="S7" i="7"/>
  <c r="O7" i="7"/>
  <c r="T8" i="7"/>
  <c r="P8" i="7" s="1"/>
  <c r="S11" i="7"/>
  <c r="O11" i="7"/>
  <c r="T12" i="7"/>
  <c r="P12" i="7" s="1"/>
  <c r="Q12" i="7" s="1"/>
  <c r="R14" i="7"/>
  <c r="N14" i="7"/>
  <c r="S15" i="7"/>
  <c r="O15" i="7" s="1"/>
  <c r="S10" i="7"/>
  <c r="O10" i="7"/>
  <c r="T15" i="7"/>
  <c r="P15" i="7" s="1"/>
  <c r="Q15" i="7" s="1"/>
  <c r="AG8" i="7"/>
  <c r="AC10" i="7"/>
  <c r="AG5" i="7"/>
  <c r="AG7" i="7"/>
  <c r="AG11" i="7"/>
  <c r="AG13" i="7"/>
  <c r="S6" i="7"/>
  <c r="O6" i="7" s="1"/>
  <c r="T7" i="7"/>
  <c r="U7" i="7" s="1"/>
  <c r="R9" i="7"/>
  <c r="N9" i="7" s="1"/>
  <c r="T11" i="7"/>
  <c r="P11" i="7"/>
  <c r="R13" i="7"/>
  <c r="N13" i="7" s="1"/>
  <c r="Q13" i="7" s="1"/>
  <c r="S14" i="7"/>
  <c r="O14" i="7"/>
  <c r="AG12" i="7"/>
  <c r="R10" i="7"/>
  <c r="N10" i="7" s="1"/>
  <c r="AC8" i="7"/>
  <c r="AC12" i="7"/>
  <c r="R7" i="7"/>
  <c r="N7" i="7" s="1"/>
  <c r="S8" i="7"/>
  <c r="O8" i="7"/>
  <c r="S12" i="7"/>
  <c r="O12" i="7"/>
  <c r="T13" i="7"/>
  <c r="U13" i="7" s="1"/>
  <c r="P13" i="7"/>
  <c r="AG6" i="7"/>
  <c r="S9" i="7"/>
  <c r="O9" i="7"/>
  <c r="T14" i="7"/>
  <c r="P14" i="7" s="1"/>
  <c r="Q14" i="7" s="1"/>
  <c r="T6" i="7"/>
  <c r="U6" i="7"/>
  <c r="T10" i="7"/>
  <c r="P10" i="7" s="1"/>
  <c r="Q10" i="7" s="1"/>
  <c r="S13" i="7"/>
  <c r="O13" i="7"/>
  <c r="AC5" i="7"/>
  <c r="AC9" i="7"/>
  <c r="AC11" i="7"/>
  <c r="AC15" i="7"/>
  <c r="AC13" i="7"/>
  <c r="T9" i="7"/>
  <c r="P9" i="7" s="1"/>
  <c r="R11" i="7"/>
  <c r="T5" i="7"/>
  <c r="P5" i="7"/>
  <c r="Q5" i="7" s="1"/>
  <c r="AC7" i="7"/>
  <c r="R15" i="7"/>
  <c r="N15" i="7"/>
  <c r="R12" i="7"/>
  <c r="N12" i="7" s="1"/>
  <c r="S5" i="7"/>
  <c r="O5" i="7"/>
  <c r="R8" i="7"/>
  <c r="N8" i="7" s="1"/>
  <c r="L5" i="7"/>
  <c r="Y5" i="7"/>
  <c r="I5" i="7"/>
  <c r="R5" i="7"/>
  <c r="E5" i="7"/>
  <c r="J5" i="7"/>
  <c r="M5" i="7" s="1"/>
  <c r="U11" i="7"/>
  <c r="P7" i="7"/>
  <c r="Q7" i="7" s="1"/>
  <c r="P6" i="7"/>
  <c r="N11" i="7"/>
  <c r="Q11" i="7"/>
  <c r="U5" i="7"/>
  <c r="U15" i="7"/>
  <c r="U8" i="7"/>
  <c r="N5" i="7"/>
  <c r="AC13" i="3"/>
  <c r="Y20" i="3"/>
  <c r="Y23" i="3"/>
  <c r="Y25" i="3"/>
  <c r="N27" i="3"/>
  <c r="N21" i="3"/>
  <c r="O21" i="3"/>
  <c r="P21" i="3"/>
  <c r="N22" i="3"/>
  <c r="O22" i="3"/>
  <c r="P22" i="3"/>
  <c r="N23" i="3"/>
  <c r="O23" i="3"/>
  <c r="P23" i="3"/>
  <c r="N24" i="3"/>
  <c r="O24" i="3"/>
  <c r="P24" i="3"/>
  <c r="N25" i="3"/>
  <c r="O25" i="3"/>
  <c r="P25" i="3"/>
  <c r="N26" i="3"/>
  <c r="O26" i="3"/>
  <c r="P26" i="3"/>
  <c r="O27" i="3"/>
  <c r="P27" i="3"/>
  <c r="N28" i="3"/>
  <c r="O28" i="3"/>
  <c r="P28" i="3"/>
  <c r="N29" i="3"/>
  <c r="O29" i="3"/>
  <c r="P29" i="3"/>
  <c r="N30" i="3"/>
  <c r="O30" i="3"/>
  <c r="P30" i="3"/>
  <c r="O20" i="3"/>
  <c r="P20" i="3"/>
  <c r="N20" i="3"/>
  <c r="T20" i="3"/>
  <c r="L20" i="3"/>
  <c r="S20" i="3"/>
  <c r="K20" i="3"/>
  <c r="R20" i="3"/>
  <c r="J20" i="3"/>
  <c r="Y30" i="3"/>
  <c r="Y29" i="3"/>
  <c r="Y27" i="3"/>
  <c r="Y26" i="3"/>
  <c r="Y24" i="3"/>
  <c r="Y22" i="3"/>
  <c r="Y21" i="3"/>
  <c r="AC20" i="3"/>
  <c r="AG12" i="3"/>
  <c r="AG11" i="3"/>
  <c r="AG8" i="3"/>
  <c r="AG7" i="3"/>
  <c r="AG5" i="3"/>
  <c r="AK5" i="3"/>
  <c r="E5" i="3"/>
  <c r="I5" i="3"/>
  <c r="Y5" i="3"/>
  <c r="L9" i="3"/>
  <c r="E15" i="3"/>
  <c r="E14" i="3"/>
  <c r="E13" i="3"/>
  <c r="E12" i="3"/>
  <c r="E11" i="3"/>
  <c r="E10" i="3"/>
  <c r="E9" i="3"/>
  <c r="E8" i="3"/>
  <c r="E7" i="3"/>
  <c r="E6" i="3"/>
  <c r="T6" i="3"/>
  <c r="P6" i="3"/>
  <c r="R6" i="3"/>
  <c r="N6" i="3"/>
  <c r="AK6" i="3"/>
  <c r="T15" i="3"/>
  <c r="P15" i="3"/>
  <c r="S15" i="3"/>
  <c r="T14" i="3"/>
  <c r="P14" i="3"/>
  <c r="S14" i="3"/>
  <c r="O14" i="3"/>
  <c r="T13" i="3"/>
  <c r="P13" i="3"/>
  <c r="S13" i="3"/>
  <c r="O13" i="3"/>
  <c r="T12" i="3"/>
  <c r="P12" i="3"/>
  <c r="S12" i="3"/>
  <c r="O12" i="3"/>
  <c r="T11" i="3"/>
  <c r="P11" i="3"/>
  <c r="S11" i="3"/>
  <c r="O11" i="3"/>
  <c r="T10" i="3"/>
  <c r="P10" i="3"/>
  <c r="S10" i="3"/>
  <c r="O10" i="3"/>
  <c r="T9" i="3"/>
  <c r="P9" i="3"/>
  <c r="S9" i="3"/>
  <c r="O9" i="3"/>
  <c r="T8" i="3"/>
  <c r="P8" i="3"/>
  <c r="S8" i="3"/>
  <c r="O8" i="3"/>
  <c r="T7" i="3"/>
  <c r="P7" i="3"/>
  <c r="S7" i="3"/>
  <c r="O7" i="3"/>
  <c r="S6" i="3"/>
  <c r="O6" i="3"/>
  <c r="T5" i="3"/>
  <c r="P5" i="3"/>
  <c r="S5" i="3"/>
  <c r="O5" i="3"/>
  <c r="Y8" i="3"/>
  <c r="AK7" i="3"/>
  <c r="AK8" i="3"/>
  <c r="AK9" i="3"/>
  <c r="AK10" i="3"/>
  <c r="AK11" i="3"/>
  <c r="AK12" i="3"/>
  <c r="AK13" i="3"/>
  <c r="AK14" i="3"/>
  <c r="AK15" i="3"/>
  <c r="R15" i="3"/>
  <c r="N15" i="3"/>
  <c r="R14" i="3"/>
  <c r="N14" i="3"/>
  <c r="R13" i="3"/>
  <c r="N13" i="3"/>
  <c r="R12" i="3"/>
  <c r="R11" i="3"/>
  <c r="N11" i="3"/>
  <c r="R10" i="3"/>
  <c r="N10" i="3"/>
  <c r="R9" i="3"/>
  <c r="N9" i="3"/>
  <c r="R8" i="3"/>
  <c r="N8" i="3"/>
  <c r="R7" i="3"/>
  <c r="N7" i="3"/>
  <c r="R5" i="3"/>
  <c r="N5" i="3"/>
  <c r="AC7" i="3"/>
  <c r="AC9" i="3"/>
  <c r="AW15" i="3"/>
  <c r="AW14" i="3"/>
  <c r="AW13" i="3"/>
  <c r="AW12" i="3"/>
  <c r="AW11" i="3"/>
  <c r="AW10" i="3"/>
  <c r="AW9" i="3"/>
  <c r="AW8" i="3"/>
  <c r="AW7" i="3"/>
  <c r="AW6" i="3"/>
  <c r="AW5" i="3"/>
  <c r="AS15" i="3"/>
  <c r="AS14" i="3"/>
  <c r="AS13" i="3"/>
  <c r="AS12" i="3"/>
  <c r="AS11" i="3"/>
  <c r="AS10" i="3"/>
  <c r="AS9" i="3"/>
  <c r="AS8" i="3"/>
  <c r="AS7" i="3"/>
  <c r="AS6" i="3"/>
  <c r="AS5" i="3"/>
  <c r="O15" i="3"/>
  <c r="J15" i="3"/>
  <c r="K15" i="3"/>
  <c r="L15" i="3"/>
  <c r="AO15" i="3"/>
  <c r="AC15" i="3"/>
  <c r="Y15" i="3"/>
  <c r="I15" i="3"/>
  <c r="I30" i="3"/>
  <c r="E30" i="3"/>
  <c r="L5" i="3"/>
  <c r="K5" i="3"/>
  <c r="J5" i="3"/>
  <c r="I20" i="3"/>
  <c r="E20" i="3"/>
  <c r="AO5" i="3"/>
  <c r="AC5" i="3"/>
  <c r="N12" i="3"/>
  <c r="J12" i="3"/>
  <c r="I27" i="3"/>
  <c r="L8" i="3"/>
  <c r="J8" i="3"/>
  <c r="I29" i="3"/>
  <c r="I28" i="3"/>
  <c r="I26" i="3"/>
  <c r="I25" i="3"/>
  <c r="I24" i="3"/>
  <c r="I23" i="3"/>
  <c r="I22" i="3"/>
  <c r="I21" i="3"/>
  <c r="E21" i="3"/>
  <c r="E29" i="3"/>
  <c r="E28" i="3"/>
  <c r="E27" i="3"/>
  <c r="E26" i="3"/>
  <c r="E25" i="3"/>
  <c r="E24" i="3"/>
  <c r="E23" i="3"/>
  <c r="E22" i="3"/>
  <c r="AO14" i="3"/>
  <c r="AO13" i="3"/>
  <c r="AO12" i="3"/>
  <c r="AO11" i="3"/>
  <c r="AO10" i="3"/>
  <c r="AO9" i="3"/>
  <c r="AO8" i="3"/>
  <c r="AO7" i="3"/>
  <c r="AO6" i="3"/>
  <c r="AC12" i="3"/>
  <c r="AC11" i="3"/>
  <c r="AC10" i="3"/>
  <c r="AC8" i="3"/>
  <c r="Y14" i="3"/>
  <c r="Y13" i="3"/>
  <c r="Y12" i="3"/>
  <c r="Y11" i="3"/>
  <c r="Y10" i="3"/>
  <c r="Y9" i="3"/>
  <c r="Y7" i="3"/>
  <c r="Y6" i="3"/>
  <c r="L14" i="3"/>
  <c r="J14" i="3"/>
  <c r="L13" i="3"/>
  <c r="J13" i="3"/>
  <c r="L12" i="3"/>
  <c r="L11" i="3"/>
  <c r="J11" i="3"/>
  <c r="L10" i="3"/>
  <c r="J10" i="3"/>
  <c r="J9" i="3"/>
  <c r="L7" i="3"/>
  <c r="J7" i="3"/>
  <c r="L6" i="3"/>
  <c r="J6" i="3"/>
  <c r="I14" i="3"/>
  <c r="I13" i="3"/>
  <c r="I12" i="3"/>
  <c r="I11" i="3"/>
  <c r="I10" i="3"/>
  <c r="I9" i="3"/>
  <c r="I8" i="3"/>
  <c r="I7" i="3"/>
  <c r="I6" i="3"/>
  <c r="K6" i="3"/>
  <c r="K10" i="3"/>
  <c r="K7" i="3"/>
  <c r="K14" i="3"/>
  <c r="K13" i="3"/>
  <c r="K12" i="3"/>
  <c r="K11" i="3"/>
  <c r="K9" i="3"/>
  <c r="K8" i="3"/>
  <c r="AC30" i="3"/>
  <c r="AC27" i="3"/>
  <c r="AC21" i="3"/>
  <c r="T21" i="3"/>
  <c r="L21" i="3"/>
  <c r="AC26" i="3"/>
  <c r="T26" i="3"/>
  <c r="L26" i="3"/>
  <c r="T28" i="3"/>
  <c r="T30" i="3"/>
  <c r="L30" i="3"/>
  <c r="R28" i="3"/>
  <c r="S21" i="3"/>
  <c r="K21" i="3"/>
  <c r="T23" i="3"/>
  <c r="S30" i="3"/>
  <c r="K30" i="3"/>
  <c r="S26" i="3"/>
  <c r="K26" i="3"/>
  <c r="S22" i="3"/>
  <c r="K22" i="3"/>
  <c r="S28" i="3"/>
  <c r="AC29" i="3"/>
  <c r="T29" i="3"/>
  <c r="L29" i="3"/>
  <c r="T25" i="3"/>
  <c r="T24" i="3"/>
  <c r="R22" i="3"/>
  <c r="J22" i="3"/>
  <c r="AC22" i="3"/>
  <c r="T22" i="3"/>
  <c r="L22" i="3"/>
  <c r="S25" i="3"/>
  <c r="R27" i="3"/>
  <c r="J27" i="3"/>
  <c r="R30" i="3"/>
  <c r="J30" i="3"/>
  <c r="R26" i="3"/>
  <c r="J26" i="3"/>
  <c r="T27" i="3"/>
  <c r="L27" i="3"/>
  <c r="S29" i="3"/>
  <c r="K29" i="3"/>
  <c r="R24" i="3"/>
  <c r="J24" i="3"/>
  <c r="R29" i="3"/>
  <c r="J29" i="3"/>
  <c r="R25" i="3"/>
  <c r="R21" i="3"/>
  <c r="S24" i="3"/>
  <c r="K24" i="3"/>
  <c r="S27" i="3"/>
  <c r="K27" i="3"/>
  <c r="S23" i="3"/>
  <c r="R23" i="3"/>
  <c r="U22" i="3"/>
  <c r="M12" i="3"/>
  <c r="M14" i="3"/>
  <c r="U24" i="3"/>
  <c r="U23" i="3"/>
  <c r="U21" i="3"/>
  <c r="J21" i="3"/>
  <c r="M21" i="3"/>
  <c r="Q21" i="3"/>
  <c r="U6" i="3"/>
  <c r="U5" i="3"/>
  <c r="Q24" i="3"/>
  <c r="U20" i="3"/>
  <c r="M27" i="3"/>
  <c r="Q30" i="3"/>
  <c r="Q25" i="3"/>
  <c r="Q27" i="3"/>
  <c r="Q23" i="3"/>
  <c r="M30" i="3"/>
  <c r="M29" i="3"/>
  <c r="U30" i="3"/>
  <c r="U29" i="3"/>
  <c r="U27" i="3"/>
  <c r="U26" i="3"/>
  <c r="L24" i="3"/>
  <c r="M24" i="3"/>
  <c r="M22" i="3"/>
  <c r="M20" i="3"/>
  <c r="U10" i="3"/>
  <c r="U7" i="3"/>
  <c r="U14" i="3"/>
  <c r="Q14" i="3"/>
  <c r="M7" i="3"/>
  <c r="M5" i="3"/>
  <c r="Q28" i="3"/>
  <c r="M26" i="3"/>
  <c r="Q20" i="3"/>
  <c r="Q7" i="3"/>
  <c r="Q11" i="3"/>
  <c r="U11" i="3"/>
  <c r="Q9" i="3"/>
  <c r="Q13" i="3"/>
  <c r="U12" i="3"/>
  <c r="Q12" i="3"/>
  <c r="Q8" i="3"/>
  <c r="Q15" i="3"/>
  <c r="Q6" i="3"/>
  <c r="Q10" i="3"/>
  <c r="M13" i="3"/>
  <c r="M11" i="3"/>
  <c r="Q5" i="3"/>
  <c r="Q29" i="3"/>
  <c r="Q26" i="3"/>
  <c r="Q22" i="3"/>
  <c r="M6" i="3"/>
  <c r="M9" i="3"/>
  <c r="M10" i="3"/>
  <c r="M8" i="3"/>
  <c r="M15" i="3"/>
  <c r="U9" i="3"/>
  <c r="U8" i="3"/>
  <c r="U13" i="3"/>
  <c r="U15" i="3"/>
  <c r="Q9" i="7" l="1"/>
  <c r="Q8" i="7"/>
  <c r="U10" i="7"/>
  <c r="U9" i="7"/>
  <c r="U12" i="7"/>
  <c r="U14" i="7"/>
</calcChain>
</file>

<file path=xl/sharedStrings.xml><?xml version="1.0" encoding="utf-8"?>
<sst xmlns="http://schemas.openxmlformats.org/spreadsheetml/2006/main" count="175" uniqueCount="61">
  <si>
    <t>机构</t>
  </si>
  <si>
    <t>主动负债</t>
  </si>
  <si>
    <t>其中：协议存款</t>
  </si>
  <si>
    <t>其中：中央国库定期存款</t>
  </si>
  <si>
    <t>比上月</t>
  </si>
  <si>
    <t>中信</t>
  </si>
  <si>
    <t>浦发</t>
  </si>
  <si>
    <t>招行</t>
  </si>
  <si>
    <t>民生</t>
  </si>
  <si>
    <t>兴业</t>
  </si>
  <si>
    <t>光大</t>
  </si>
  <si>
    <t>平安</t>
  </si>
  <si>
    <t>中信</t>
    <phoneticPr fontId="5" type="noConversion"/>
  </si>
  <si>
    <t>浦发</t>
    <phoneticPr fontId="5" type="noConversion"/>
  </si>
  <si>
    <t>华夏</t>
    <phoneticPr fontId="5" type="noConversion"/>
  </si>
  <si>
    <t>光大</t>
    <phoneticPr fontId="5" type="noConversion"/>
  </si>
  <si>
    <t>人民币核心存款</t>
    <phoneticPr fontId="5" type="noConversion"/>
  </si>
  <si>
    <t>其中：结构性存款</t>
    <phoneticPr fontId="5" type="noConversion"/>
  </si>
  <si>
    <t>大额存单</t>
    <phoneticPr fontId="5" type="noConversion"/>
  </si>
  <si>
    <t>广发</t>
    <phoneticPr fontId="5" type="noConversion"/>
  </si>
  <si>
    <t>机构</t>
    <phoneticPr fontId="5" type="noConversion"/>
  </si>
  <si>
    <t>-</t>
  </si>
  <si>
    <t>交行</t>
    <phoneticPr fontId="5" type="noConversion"/>
  </si>
  <si>
    <t>浙商</t>
    <phoneticPr fontId="5" type="noConversion"/>
  </si>
  <si>
    <t>-</t>
    <phoneticPr fontId="5" type="noConversion"/>
  </si>
  <si>
    <t>比年初_增额和增幅</t>
  </si>
  <si>
    <t>三年及以上大额存单</t>
    <phoneticPr fontId="5" type="noConversion"/>
  </si>
  <si>
    <t>境内本外币存款</t>
    <phoneticPr fontId="5" type="noConversion"/>
  </si>
  <si>
    <t>其中：境内人民币存款</t>
    <phoneticPr fontId="5" type="noConversion"/>
  </si>
  <si>
    <t>其中：境内外币存款</t>
    <phoneticPr fontId="5" type="noConversion"/>
  </si>
  <si>
    <t>境内对公本外币贷款</t>
    <phoneticPr fontId="5" type="noConversion"/>
  </si>
  <si>
    <t>其中：境内对公人民币贷款</t>
    <phoneticPr fontId="5" type="noConversion"/>
  </si>
  <si>
    <t>境内对公外币贷款</t>
    <phoneticPr fontId="5" type="noConversion"/>
  </si>
  <si>
    <t>三年及以上普通定期（不含大额存单，不含协议存款）</t>
    <phoneticPr fontId="5" type="noConversion"/>
  </si>
  <si>
    <t>协定存款</t>
    <phoneticPr fontId="5" type="noConversion"/>
  </si>
  <si>
    <t>境内对公人民币贷款其中：福费廷业务</t>
    <phoneticPr fontId="5" type="noConversion"/>
  </si>
  <si>
    <t>其中：一级福费廷</t>
    <phoneticPr fontId="5" type="noConversion"/>
  </si>
  <si>
    <t>其中：二级福费廷</t>
    <phoneticPr fontId="5" type="noConversion"/>
  </si>
  <si>
    <t>暂未提供福费廷数据</t>
    <phoneticPr fontId="5" type="noConversion"/>
  </si>
  <si>
    <t>境内对公人民币贷款（不含福费廷）</t>
    <phoneticPr fontId="5" type="noConversion"/>
  </si>
  <si>
    <t>暂未提供二级福费廷数据</t>
    <phoneticPr fontId="5" type="noConversion"/>
  </si>
  <si>
    <t>暂未提供二级福费廷数据</t>
    <phoneticPr fontId="5" type="noConversion"/>
  </si>
  <si>
    <t>浙商</t>
    <phoneticPr fontId="5" type="noConversion"/>
  </si>
  <si>
    <t>机构</t>
    <phoneticPr fontId="5" type="noConversion"/>
  </si>
  <si>
    <t>其中：境内人民币存款</t>
    <phoneticPr fontId="5" type="noConversion"/>
  </si>
  <si>
    <t>其中：境内外币存款</t>
    <phoneticPr fontId="5" type="noConversion"/>
  </si>
  <si>
    <t>人民币核心存款</t>
    <phoneticPr fontId="5" type="noConversion"/>
  </si>
  <si>
    <t>其中：结构性存款</t>
    <phoneticPr fontId="5" type="noConversion"/>
  </si>
  <si>
    <t>协定存款</t>
    <phoneticPr fontId="5" type="noConversion"/>
  </si>
  <si>
    <t>三年及以上大额存单</t>
    <phoneticPr fontId="5" type="noConversion"/>
  </si>
  <si>
    <t>三年及以上普通定期（不含大额存单，不含协议存款）</t>
    <phoneticPr fontId="5" type="noConversion"/>
  </si>
  <si>
    <t>交行</t>
    <phoneticPr fontId="5" type="noConversion"/>
  </si>
  <si>
    <t>中信</t>
    <phoneticPr fontId="5" type="noConversion"/>
  </si>
  <si>
    <t>浦发</t>
    <phoneticPr fontId="5" type="noConversion"/>
  </si>
  <si>
    <t>华夏</t>
    <phoneticPr fontId="5" type="noConversion"/>
  </si>
  <si>
    <t>广发</t>
    <phoneticPr fontId="5" type="noConversion"/>
  </si>
  <si>
    <t>-</t>
    <phoneticPr fontId="5" type="noConversion"/>
  </si>
  <si>
    <t>境内对公人民币贷款</t>
    <phoneticPr fontId="5" type="noConversion"/>
  </si>
  <si>
    <t>浙商</t>
    <phoneticPr fontId="5" type="noConversion"/>
  </si>
  <si>
    <t>3月31日同业“10+1”银行对公存贷款对标情况</t>
    <phoneticPr fontId="5" type="noConversion"/>
  </si>
  <si>
    <t>3月31日同业“10+1”银行对公存贷款对标情况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</si>
</sst>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6" formatCode="0_ ;[Red]\-0\ "/>
    <numFmt numFmtId="177" formatCode="[$-F800]dddd\,\ mmmm\ dd\,\ yyyy"/>
    <numFmt numFmtId="178" formatCode="0.0%"/>
    <numFmt numFmtId="179" formatCode="_ * #,##0_ ;_ * \-#,##0_ ;_ * &quot;-&quot;??_ ;_ @_ 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4"/>
      <color theme="1"/>
      <name val="仿宋_GB2312"/>
      <family val="3"/>
      <charset val="134"/>
    </font>
    <font>
      <sz val="12"/>
      <color theme="1"/>
      <name val="仿宋_GB2312"/>
      <family val="3"/>
      <charset val="134"/>
    </font>
    <font>
      <sz val="9"/>
      <name val="宋体"/>
      <family val="3"/>
      <charset val="134"/>
      <scheme val="minor"/>
    </font>
    <font>
      <b/>
      <sz val="12"/>
      <color theme="1"/>
      <name val="仿宋_GB2312"/>
      <family val="3"/>
      <charset val="134"/>
    </font>
    <font>
      <sz val="12"/>
      <color theme="1"/>
      <name val="仿宋_GB2312"/>
      <family val="3"/>
      <charset val="134"/>
    </font>
    <font>
      <sz val="12"/>
      <color theme="1"/>
      <name val="仿宋_GB2312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仿宋_GB2312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4"/>
      <color theme="1"/>
      <name val="Arial"/>
      <family val="2"/>
    </font>
    <font>
      <b/>
      <sz val="14"/>
      <name val="仿宋_GB2312"/>
      <family val="3"/>
      <charset val="134"/>
    </font>
    <font>
      <b/>
      <sz val="14"/>
      <color theme="1"/>
      <name val="仿宋_GB2312"/>
      <family val="3"/>
      <charset val="134"/>
    </font>
    <font>
      <sz val="11"/>
      <color theme="1"/>
      <name val="宋体"/>
      <family val="3"/>
      <charset val="134"/>
      <scheme val="minor"/>
    </font>
    <font>
      <b/>
      <sz val="28"/>
      <color theme="1"/>
      <name val="黑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4">
    <xf numFmtId="0" fontId="0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177" fontId="9" fillId="0" borderId="0">
      <alignment vertical="center"/>
    </xf>
    <xf numFmtId="177" fontId="10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0" fontId="9" fillId="0" borderId="0"/>
    <xf numFmtId="0" fontId="11" fillId="0" borderId="0">
      <alignment vertical="center"/>
    </xf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79">
    <xf numFmtId="0" fontId="0" fillId="0" borderId="0" xfId="0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Fill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>
      <alignment vertical="center"/>
    </xf>
    <xf numFmtId="176" fontId="3" fillId="0" borderId="0" xfId="1" applyNumberFormat="1" applyFont="1" applyAlignment="1">
      <alignment horizontal="center" vertical="center"/>
    </xf>
    <xf numFmtId="176" fontId="3" fillId="0" borderId="0" xfId="1" applyNumberFormat="1" applyFont="1">
      <alignment vertical="center"/>
    </xf>
    <xf numFmtId="10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15" fillId="0" borderId="1" xfId="1" applyFont="1" applyFill="1" applyBorder="1" applyAlignment="1">
      <alignment horizontal="center" vertical="center"/>
    </xf>
    <xf numFmtId="179" fontId="14" fillId="0" borderId="1" xfId="30" applyNumberFormat="1" applyFont="1" applyBorder="1" applyAlignment="1">
      <alignment horizontal="center" vertical="center"/>
    </xf>
    <xf numFmtId="178" fontId="14" fillId="0" borderId="1" xfId="29" applyNumberFormat="1" applyFont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179" fontId="14" fillId="0" borderId="1" xfId="30" applyNumberFormat="1" applyFont="1" applyFill="1" applyBorder="1" applyAlignment="1">
      <alignment horizontal="center" vertical="center"/>
    </xf>
    <xf numFmtId="178" fontId="14" fillId="0" borderId="1" xfId="29" applyNumberFormat="1" applyFont="1" applyFill="1" applyBorder="1" applyAlignment="1">
      <alignment horizontal="center" vertical="center"/>
    </xf>
    <xf numFmtId="176" fontId="16" fillId="0" borderId="1" xfId="1" applyNumberFormat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58" fontId="6" fillId="3" borderId="1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79" fontId="14" fillId="3" borderId="1" xfId="30" applyNumberFormat="1" applyFont="1" applyFill="1" applyBorder="1" applyAlignment="1">
      <alignment horizontal="center" vertical="center"/>
    </xf>
    <xf numFmtId="178" fontId="14" fillId="3" borderId="1" xfId="29" applyNumberFormat="1" applyFont="1" applyFill="1" applyBorder="1" applyAlignment="1">
      <alignment horizontal="center" vertical="center"/>
    </xf>
    <xf numFmtId="58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58" fontId="6" fillId="4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179" fontId="14" fillId="4" borderId="1" xfId="30" applyNumberFormat="1" applyFont="1" applyFill="1" applyBorder="1" applyAlignment="1">
      <alignment horizontal="center" vertical="center"/>
    </xf>
    <xf numFmtId="178" fontId="14" fillId="4" borderId="1" xfId="29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58" fontId="6" fillId="5" borderId="1" xfId="1" applyNumberFormat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179" fontId="14" fillId="5" borderId="1" xfId="30" applyNumberFormat="1" applyFont="1" applyFill="1" applyBorder="1" applyAlignment="1">
      <alignment horizontal="center" vertical="center"/>
    </xf>
    <xf numFmtId="178" fontId="14" fillId="5" borderId="1" xfId="29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79" fontId="14" fillId="3" borderId="1" xfId="31" applyNumberFormat="1" applyFont="1" applyFill="1" applyBorder="1" applyAlignment="1">
      <alignment horizontal="center" vertical="center"/>
    </xf>
    <xf numFmtId="178" fontId="14" fillId="3" borderId="1" xfId="32" applyNumberFormat="1" applyFont="1" applyFill="1" applyBorder="1" applyAlignment="1">
      <alignment horizontal="center" vertical="center"/>
    </xf>
    <xf numFmtId="179" fontId="14" fillId="0" borderId="1" xfId="31" applyNumberFormat="1" applyFont="1" applyFill="1" applyBorder="1" applyAlignment="1">
      <alignment horizontal="center" vertical="center"/>
    </xf>
    <xf numFmtId="178" fontId="14" fillId="0" borderId="1" xfId="32" applyNumberFormat="1" applyFont="1" applyFill="1" applyBorder="1" applyAlignment="1">
      <alignment horizontal="center" vertical="center"/>
    </xf>
    <xf numFmtId="179" fontId="14" fillId="5" borderId="1" xfId="31" applyNumberFormat="1" applyFont="1" applyFill="1" applyBorder="1" applyAlignment="1">
      <alignment horizontal="center" vertical="center"/>
    </xf>
    <xf numFmtId="178" fontId="14" fillId="5" borderId="1" xfId="32" applyNumberFormat="1" applyFont="1" applyFill="1" applyBorder="1" applyAlignment="1">
      <alignment horizontal="center" vertical="center"/>
    </xf>
    <xf numFmtId="179" fontId="14" fillId="4" borderId="1" xfId="31" applyNumberFormat="1" applyFont="1" applyFill="1" applyBorder="1" applyAlignment="1">
      <alignment horizontal="center" vertical="center"/>
    </xf>
    <xf numFmtId="178" fontId="14" fillId="4" borderId="1" xfId="32" applyNumberFormat="1" applyFont="1" applyFill="1" applyBorder="1" applyAlignment="1">
      <alignment horizontal="center" vertical="center"/>
    </xf>
    <xf numFmtId="179" fontId="14" fillId="0" borderId="1" xfId="31" applyNumberFormat="1" applyFont="1" applyBorder="1" applyAlignment="1">
      <alignment horizontal="center" vertical="center"/>
    </xf>
    <xf numFmtId="178" fontId="14" fillId="0" borderId="1" xfId="32" applyNumberFormat="1" applyFont="1" applyBorder="1" applyAlignment="1">
      <alignment horizontal="center" vertical="center"/>
    </xf>
    <xf numFmtId="9" fontId="14" fillId="0" borderId="1" xfId="32" applyFont="1" applyFill="1" applyBorder="1" applyAlignment="1">
      <alignment horizontal="center" vertical="center"/>
    </xf>
    <xf numFmtId="58" fontId="6" fillId="0" borderId="5" xfId="1" applyNumberFormat="1" applyFont="1" applyFill="1" applyBorder="1" applyAlignment="1">
      <alignment horizontal="center" vertical="center" wrapText="1"/>
    </xf>
    <xf numFmtId="58" fontId="6" fillId="0" borderId="0" xfId="1" applyNumberFormat="1" applyFont="1" applyFill="1" applyBorder="1" applyAlignment="1">
      <alignment horizontal="center" vertical="center" wrapText="1"/>
    </xf>
    <xf numFmtId="179" fontId="14" fillId="0" borderId="5" xfId="31" applyNumberFormat="1" applyFont="1" applyFill="1" applyBorder="1" applyAlignment="1">
      <alignment horizontal="center" vertical="center"/>
    </xf>
    <xf numFmtId="179" fontId="14" fillId="0" borderId="0" xfId="31" applyNumberFormat="1" applyFont="1" applyFill="1" applyBorder="1" applyAlignment="1">
      <alignment horizontal="center" vertical="center"/>
    </xf>
    <xf numFmtId="178" fontId="14" fillId="0" borderId="0" xfId="32" applyNumberFormat="1" applyFont="1" applyFill="1" applyBorder="1" applyAlignment="1">
      <alignment horizontal="center" vertical="center"/>
    </xf>
    <xf numFmtId="9" fontId="14" fillId="0" borderId="0" xfId="32" applyFont="1" applyFill="1" applyBorder="1" applyAlignment="1">
      <alignment horizontal="center" vertical="center"/>
    </xf>
    <xf numFmtId="176" fontId="14" fillId="0" borderId="1" xfId="33" applyNumberFormat="1" applyFont="1" applyFill="1" applyBorder="1" applyAlignment="1">
      <alignment horizontal="center" vertical="center"/>
    </xf>
    <xf numFmtId="176" fontId="14" fillId="0" borderId="0" xfId="33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8" fillId="0" borderId="0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179" fontId="14" fillId="6" borderId="1" xfId="30" applyNumberFormat="1" applyFont="1" applyFill="1" applyBorder="1" applyAlignment="1">
      <alignment horizontal="center" vertical="center"/>
    </xf>
    <xf numFmtId="178" fontId="14" fillId="6" borderId="1" xfId="29" applyNumberFormat="1" applyFont="1" applyFill="1" applyBorder="1" applyAlignment="1">
      <alignment horizontal="center" vertical="center"/>
    </xf>
    <xf numFmtId="179" fontId="14" fillId="6" borderId="1" xfId="31" applyNumberFormat="1" applyFont="1" applyFill="1" applyBorder="1" applyAlignment="1">
      <alignment horizontal="center" vertical="center"/>
    </xf>
    <xf numFmtId="178" fontId="14" fillId="6" borderId="1" xfId="32" applyNumberFormat="1" applyFont="1" applyFill="1" applyBorder="1" applyAlignment="1">
      <alignment horizontal="center" vertical="center"/>
    </xf>
  </cellXfs>
  <cellStyles count="34">
    <cellStyle name="Normal" xfId="2"/>
    <cellStyle name="Normal 2" xfId="5"/>
    <cellStyle name="Normal 3" xfId="18"/>
    <cellStyle name="百分比" xfId="29" builtinId="5"/>
    <cellStyle name="百分比 2" xfId="20"/>
    <cellStyle name="百分比 3" xfId="32"/>
    <cellStyle name="常规" xfId="0" builtinId="0"/>
    <cellStyle name="常规 10" xfId="14"/>
    <cellStyle name="常规 11" xfId="15"/>
    <cellStyle name="常规 12" xfId="16"/>
    <cellStyle name="常规 13" xfId="17"/>
    <cellStyle name="常规 14" xfId="21"/>
    <cellStyle name="常规 15" xfId="22"/>
    <cellStyle name="常规 16" xfId="23"/>
    <cellStyle name="常规 17" xfId="24"/>
    <cellStyle name="常规 18" xfId="25"/>
    <cellStyle name="常规 19" xfId="26"/>
    <cellStyle name="常规 2" xfId="1"/>
    <cellStyle name="常规 2 2" xfId="3"/>
    <cellStyle name="常规 2 2 2" xfId="6"/>
    <cellStyle name="常规 20" xfId="27"/>
    <cellStyle name="常规 21" xfId="28"/>
    <cellStyle name="常规 22" xfId="33"/>
    <cellStyle name="常规 3" xfId="7"/>
    <cellStyle name="常规 3 2" xfId="19"/>
    <cellStyle name="常规 4" xfId="9"/>
    <cellStyle name="常规 5" xfId="4"/>
    <cellStyle name="常规 5 2" xfId="8"/>
    <cellStyle name="常规 6" xfId="10"/>
    <cellStyle name="常规 7" xfId="11"/>
    <cellStyle name="常规 8" xfId="12"/>
    <cellStyle name="常规 9" xfId="13"/>
    <cellStyle name="千位分隔" xfId="30" builtinId="3"/>
    <cellStyle name="千位分隔 2" xfId="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31"/>
  <sheetViews>
    <sheetView tabSelected="1" zoomScale="70" zoomScaleNormal="70" workbookViewId="0">
      <pane xSplit="1" topLeftCell="B1" activePane="topRight" state="frozen"/>
      <selection pane="topRight" activeCell="J6" sqref="J6"/>
    </sheetView>
  </sheetViews>
  <sheetFormatPr defaultColWidth="9" defaultRowHeight="17.5" x14ac:dyDescent="0.25"/>
  <cols>
    <col min="1" max="1" width="10.81640625" style="3" customWidth="1"/>
    <col min="2" max="12" width="11.54296875" style="3" customWidth="1"/>
    <col min="13" max="49" width="11.54296875" style="4" customWidth="1"/>
    <col min="50" max="16384" width="9" style="4"/>
  </cols>
  <sheetData>
    <row r="1" spans="1:52" ht="51.75" customHeight="1" x14ac:dyDescent="0.25">
      <c r="A1" s="63" t="s">
        <v>60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</row>
    <row r="2" spans="1:52" x14ac:dyDescent="0.2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3">
        <v>16</v>
      </c>
      <c r="Q2" s="3">
        <v>17</v>
      </c>
      <c r="R2" s="3">
        <v>18</v>
      </c>
      <c r="S2" s="3">
        <v>19</v>
      </c>
      <c r="T2" s="3">
        <v>20</v>
      </c>
      <c r="U2" s="3">
        <v>21</v>
      </c>
      <c r="V2" s="3">
        <v>22</v>
      </c>
      <c r="W2" s="3">
        <v>23</v>
      </c>
      <c r="X2" s="3">
        <v>24</v>
      </c>
      <c r="Y2" s="3">
        <v>25</v>
      </c>
      <c r="Z2" s="3">
        <v>26</v>
      </c>
      <c r="AA2" s="3">
        <v>27</v>
      </c>
      <c r="AB2" s="3">
        <v>28</v>
      </c>
      <c r="AC2" s="3">
        <v>29</v>
      </c>
      <c r="AD2" s="3">
        <v>30</v>
      </c>
      <c r="AE2" s="3">
        <v>31</v>
      </c>
      <c r="AF2" s="3">
        <v>32</v>
      </c>
      <c r="AG2" s="3">
        <v>33</v>
      </c>
      <c r="AH2" s="3">
        <v>34</v>
      </c>
      <c r="AI2" s="3">
        <v>35</v>
      </c>
      <c r="AJ2" s="3">
        <v>36</v>
      </c>
      <c r="AK2" s="3">
        <v>37</v>
      </c>
      <c r="AL2" s="3">
        <v>38</v>
      </c>
      <c r="AM2" s="3">
        <v>39</v>
      </c>
      <c r="AN2" s="3">
        <v>40</v>
      </c>
      <c r="AO2" s="3">
        <v>41</v>
      </c>
      <c r="AP2" s="3">
        <v>42</v>
      </c>
      <c r="AQ2" s="3">
        <v>43</v>
      </c>
      <c r="AR2" s="3">
        <v>44</v>
      </c>
      <c r="AS2" s="3">
        <v>45</v>
      </c>
      <c r="AT2" s="3">
        <v>46</v>
      </c>
      <c r="AU2" s="3">
        <v>47</v>
      </c>
      <c r="AV2" s="3">
        <v>48</v>
      </c>
      <c r="AW2" s="3">
        <v>49</v>
      </c>
    </row>
    <row r="3" spans="1:52" s="1" customFormat="1" ht="36.75" customHeight="1" x14ac:dyDescent="0.25">
      <c r="A3" s="65" t="s">
        <v>20</v>
      </c>
      <c r="B3" s="67" t="s">
        <v>27</v>
      </c>
      <c r="C3" s="67"/>
      <c r="D3" s="67"/>
      <c r="E3" s="67"/>
      <c r="F3" s="65" t="s">
        <v>28</v>
      </c>
      <c r="G3" s="65"/>
      <c r="H3" s="65"/>
      <c r="I3" s="65"/>
      <c r="J3" s="66" t="s">
        <v>29</v>
      </c>
      <c r="K3" s="66"/>
      <c r="L3" s="66"/>
      <c r="M3" s="66"/>
      <c r="N3" s="64" t="s">
        <v>16</v>
      </c>
      <c r="O3" s="64"/>
      <c r="P3" s="64"/>
      <c r="Q3" s="64"/>
      <c r="R3" s="67" t="s">
        <v>1</v>
      </c>
      <c r="S3" s="67"/>
      <c r="T3" s="67"/>
      <c r="U3" s="67"/>
      <c r="V3" s="65" t="s">
        <v>17</v>
      </c>
      <c r="W3" s="65"/>
      <c r="X3" s="65"/>
      <c r="Y3" s="65"/>
      <c r="Z3" s="66" t="s">
        <v>2</v>
      </c>
      <c r="AA3" s="66"/>
      <c r="AB3" s="66"/>
      <c r="AC3" s="66"/>
      <c r="AD3" s="65" t="s">
        <v>3</v>
      </c>
      <c r="AE3" s="65"/>
      <c r="AF3" s="65"/>
      <c r="AG3" s="65"/>
      <c r="AH3" s="64" t="s">
        <v>34</v>
      </c>
      <c r="AI3" s="64"/>
      <c r="AJ3" s="64"/>
      <c r="AK3" s="64"/>
      <c r="AL3" s="65" t="s">
        <v>18</v>
      </c>
      <c r="AM3" s="65"/>
      <c r="AN3" s="65"/>
      <c r="AO3" s="65"/>
      <c r="AP3" s="64" t="s">
        <v>26</v>
      </c>
      <c r="AQ3" s="64"/>
      <c r="AR3" s="64"/>
      <c r="AS3" s="64"/>
      <c r="AT3" s="65" t="s">
        <v>33</v>
      </c>
      <c r="AU3" s="65"/>
      <c r="AV3" s="65"/>
      <c r="AW3" s="65"/>
    </row>
    <row r="4" spans="1:52" s="1" customFormat="1" ht="36.75" customHeight="1" x14ac:dyDescent="0.25">
      <c r="A4" s="65"/>
      <c r="B4" s="17">
        <v>46112</v>
      </c>
      <c r="C4" s="18" t="s">
        <v>4</v>
      </c>
      <c r="D4" s="67" t="s">
        <v>25</v>
      </c>
      <c r="E4" s="67"/>
      <c r="F4" s="21">
        <v>46112</v>
      </c>
      <c r="G4" s="22" t="s">
        <v>4</v>
      </c>
      <c r="H4" s="65" t="s">
        <v>25</v>
      </c>
      <c r="I4" s="65"/>
      <c r="J4" s="28">
        <v>46112</v>
      </c>
      <c r="K4" s="29" t="s">
        <v>4</v>
      </c>
      <c r="L4" s="66" t="s">
        <v>25</v>
      </c>
      <c r="M4" s="66"/>
      <c r="N4" s="23">
        <v>46112</v>
      </c>
      <c r="O4" s="24" t="s">
        <v>4</v>
      </c>
      <c r="P4" s="64" t="s">
        <v>25</v>
      </c>
      <c r="Q4" s="64"/>
      <c r="R4" s="17">
        <v>46112</v>
      </c>
      <c r="S4" s="18" t="s">
        <v>4</v>
      </c>
      <c r="T4" s="67" t="s">
        <v>25</v>
      </c>
      <c r="U4" s="67"/>
      <c r="V4" s="21">
        <v>46112</v>
      </c>
      <c r="W4" s="22" t="s">
        <v>4</v>
      </c>
      <c r="X4" s="65" t="s">
        <v>25</v>
      </c>
      <c r="Y4" s="65"/>
      <c r="Z4" s="28">
        <v>46112</v>
      </c>
      <c r="AA4" s="29" t="s">
        <v>4</v>
      </c>
      <c r="AB4" s="66" t="s">
        <v>25</v>
      </c>
      <c r="AC4" s="66"/>
      <c r="AD4" s="21">
        <v>46112</v>
      </c>
      <c r="AE4" s="22" t="s">
        <v>4</v>
      </c>
      <c r="AF4" s="65" t="s">
        <v>25</v>
      </c>
      <c r="AG4" s="65"/>
      <c r="AH4" s="23">
        <v>46112</v>
      </c>
      <c r="AI4" s="24" t="s">
        <v>4</v>
      </c>
      <c r="AJ4" s="64" t="s">
        <v>25</v>
      </c>
      <c r="AK4" s="64"/>
      <c r="AL4" s="21">
        <v>46112</v>
      </c>
      <c r="AM4" s="22" t="s">
        <v>4</v>
      </c>
      <c r="AN4" s="65" t="s">
        <v>25</v>
      </c>
      <c r="AO4" s="65"/>
      <c r="AP4" s="23">
        <v>46112</v>
      </c>
      <c r="AQ4" s="24" t="s">
        <v>4</v>
      </c>
      <c r="AR4" s="64" t="s">
        <v>25</v>
      </c>
      <c r="AS4" s="64"/>
      <c r="AT4" s="21">
        <v>46112</v>
      </c>
      <c r="AU4" s="22" t="s">
        <v>4</v>
      </c>
      <c r="AV4" s="65" t="s">
        <v>25</v>
      </c>
      <c r="AW4" s="65"/>
    </row>
    <row r="5" spans="1:52" s="1" customFormat="1" ht="50.25" customHeight="1" x14ac:dyDescent="0.25">
      <c r="A5" s="9" t="s">
        <v>22</v>
      </c>
      <c r="B5" s="19">
        <v>49597</v>
      </c>
      <c r="C5" s="19">
        <v>961</v>
      </c>
      <c r="D5" s="19">
        <v>2094</v>
      </c>
      <c r="E5" s="20">
        <f>D5/(B5-D5)</f>
        <v>4.4081426436225084E-2</v>
      </c>
      <c r="F5" s="13">
        <v>47978</v>
      </c>
      <c r="G5" s="13">
        <v>968</v>
      </c>
      <c r="H5" s="13">
        <v>2060</v>
      </c>
      <c r="I5" s="14">
        <f>H5/(F5-H5)</f>
        <v>4.4862581122871205E-2</v>
      </c>
      <c r="J5" s="30">
        <f t="shared" ref="J5:L6" si="0">B5-F5</f>
        <v>1619</v>
      </c>
      <c r="K5" s="30">
        <f t="shared" si="0"/>
        <v>-7</v>
      </c>
      <c r="L5" s="30">
        <f t="shared" si="0"/>
        <v>34</v>
      </c>
      <c r="M5" s="31">
        <f>L5/(J5-L5)</f>
        <v>2.1451104100946371E-2</v>
      </c>
      <c r="N5" s="25">
        <f t="shared" ref="N5:P6" si="1">F5-R5</f>
        <v>44000</v>
      </c>
      <c r="O5" s="25">
        <f t="shared" si="1"/>
        <v>1183</v>
      </c>
      <c r="P5" s="25">
        <f t="shared" si="1"/>
        <v>1286</v>
      </c>
      <c r="Q5" s="26">
        <f>P5/(N5-P5)</f>
        <v>3.0107224797490284E-2</v>
      </c>
      <c r="R5" s="19">
        <f>V5+Z5+AD5</f>
        <v>3978</v>
      </c>
      <c r="S5" s="19">
        <f>W5+AA5+AE5</f>
        <v>-215</v>
      </c>
      <c r="T5" s="19">
        <f>X5+AB5+AF5</f>
        <v>774</v>
      </c>
      <c r="U5" s="20">
        <f>T5/(R5-T5)</f>
        <v>0.24157303370786518</v>
      </c>
      <c r="V5" s="13">
        <v>2848</v>
      </c>
      <c r="W5" s="13">
        <v>-99</v>
      </c>
      <c r="X5" s="13">
        <v>941</v>
      </c>
      <c r="Y5" s="14">
        <f>X5/(V5-X5)</f>
        <v>0.49344520188778185</v>
      </c>
      <c r="Z5" s="30">
        <v>1068</v>
      </c>
      <c r="AA5" s="30">
        <v>0</v>
      </c>
      <c r="AB5" s="30">
        <v>0</v>
      </c>
      <c r="AC5" s="31">
        <f>AB5/(Z5-AB5)</f>
        <v>0</v>
      </c>
      <c r="AD5" s="13">
        <v>62</v>
      </c>
      <c r="AE5" s="13">
        <v>-116</v>
      </c>
      <c r="AF5" s="13">
        <v>-167</v>
      </c>
      <c r="AG5" s="14">
        <f t="shared" ref="AG5:AG12" si="2">AF5/(AD5-AF5)</f>
        <v>-0.72925764192139741</v>
      </c>
      <c r="AH5" s="25">
        <v>7730</v>
      </c>
      <c r="AI5" s="25">
        <v>711</v>
      </c>
      <c r="AJ5" s="25">
        <v>452</v>
      </c>
      <c r="AK5" s="26">
        <f>AJ5/(AH5-AJ5)</f>
        <v>6.2104973893926906E-2</v>
      </c>
      <c r="AL5" s="10">
        <v>6949</v>
      </c>
      <c r="AM5" s="10">
        <v>113</v>
      </c>
      <c r="AN5" s="10">
        <v>162</v>
      </c>
      <c r="AO5" s="11">
        <f>AN5/(AL5-AN5)</f>
        <v>2.3869161632532783E-2</v>
      </c>
      <c r="AP5" s="25">
        <v>2884</v>
      </c>
      <c r="AQ5" s="25">
        <v>-56</v>
      </c>
      <c r="AR5" s="25">
        <v>-92</v>
      </c>
      <c r="AS5" s="26">
        <f>AR5/(AP5-AR5)</f>
        <v>-3.0913978494623656E-2</v>
      </c>
      <c r="AT5" s="13">
        <v>10148</v>
      </c>
      <c r="AU5" s="13">
        <v>-58</v>
      </c>
      <c r="AV5" s="13">
        <v>14</v>
      </c>
      <c r="AW5" s="14">
        <f>AV5/(AT5-AV5)</f>
        <v>1.381488059996053E-3</v>
      </c>
    </row>
    <row r="6" spans="1:52" s="2" customFormat="1" ht="50.15" customHeight="1" x14ac:dyDescent="0.25">
      <c r="A6" s="9" t="s">
        <v>12</v>
      </c>
      <c r="B6" s="19">
        <v>41783</v>
      </c>
      <c r="C6" s="19">
        <v>2401</v>
      </c>
      <c r="D6" s="19">
        <v>1089</v>
      </c>
      <c r="E6" s="20">
        <f>D6/(B6-D6)</f>
        <v>2.6760701823364624E-2</v>
      </c>
      <c r="F6" s="13">
        <v>39842</v>
      </c>
      <c r="G6" s="13">
        <v>2391</v>
      </c>
      <c r="H6" s="13">
        <v>932</v>
      </c>
      <c r="I6" s="14">
        <f>H6/(F6-H6)</f>
        <v>2.3952711385248009E-2</v>
      </c>
      <c r="J6" s="30">
        <f t="shared" si="0"/>
        <v>1941</v>
      </c>
      <c r="K6" s="30">
        <f t="shared" si="0"/>
        <v>10</v>
      </c>
      <c r="L6" s="30">
        <f t="shared" si="0"/>
        <v>157</v>
      </c>
      <c r="M6" s="31">
        <f>L6/(J6-L6)</f>
        <v>8.800448430493274E-2</v>
      </c>
      <c r="N6" s="25">
        <f t="shared" si="1"/>
        <v>38225</v>
      </c>
      <c r="O6" s="25">
        <f t="shared" si="1"/>
        <v>2391</v>
      </c>
      <c r="P6" s="25">
        <f t="shared" si="1"/>
        <v>845</v>
      </c>
      <c r="Q6" s="26">
        <f>P6/(N6-P6)</f>
        <v>2.2605671482075977E-2</v>
      </c>
      <c r="R6" s="19">
        <f>V6+Z6+AD6</f>
        <v>1617</v>
      </c>
      <c r="S6" s="19">
        <f t="shared" ref="S6:S15" si="3">W6+AA6+AE6</f>
        <v>0</v>
      </c>
      <c r="T6" s="19">
        <f>X6+AB6+AF6</f>
        <v>87</v>
      </c>
      <c r="U6" s="20">
        <f>T6/(R6-T6)</f>
        <v>5.6862745098039215E-2</v>
      </c>
      <c r="V6" s="13">
        <v>1617</v>
      </c>
      <c r="W6" s="13">
        <v>0</v>
      </c>
      <c r="X6" s="13">
        <v>87</v>
      </c>
      <c r="Y6" s="14">
        <f>X6/(V6-X6)</f>
        <v>5.6862745098039215E-2</v>
      </c>
      <c r="Z6" s="30">
        <v>0</v>
      </c>
      <c r="AA6" s="30">
        <v>0</v>
      </c>
      <c r="AB6" s="30">
        <v>0</v>
      </c>
      <c r="AC6" s="31" t="s">
        <v>21</v>
      </c>
      <c r="AD6" s="13">
        <v>0</v>
      </c>
      <c r="AE6" s="13">
        <v>0</v>
      </c>
      <c r="AF6" s="13">
        <v>0</v>
      </c>
      <c r="AG6" s="27" t="s">
        <v>21</v>
      </c>
      <c r="AH6" s="25">
        <v>8696.2999999999993</v>
      </c>
      <c r="AI6" s="25">
        <v>1097.9100000000001</v>
      </c>
      <c r="AJ6" s="25">
        <v>-37.700000000000003</v>
      </c>
      <c r="AK6" s="26">
        <f>AJ6/(AH6-AJ6)</f>
        <v>-4.3164643920311427E-3</v>
      </c>
      <c r="AL6" s="10">
        <v>4578</v>
      </c>
      <c r="AM6" s="10">
        <v>-68</v>
      </c>
      <c r="AN6" s="10">
        <v>100</v>
      </c>
      <c r="AO6" s="11">
        <f>AN6/(AL6-AN6)</f>
        <v>2.2331397945511387E-2</v>
      </c>
      <c r="AP6" s="25">
        <v>1653</v>
      </c>
      <c r="AQ6" s="25">
        <v>-150</v>
      </c>
      <c r="AR6" s="25">
        <v>-277</v>
      </c>
      <c r="AS6" s="26">
        <f>AR6/(AP6-AR6)</f>
        <v>-0.14352331606217616</v>
      </c>
      <c r="AT6" s="13">
        <v>5559</v>
      </c>
      <c r="AU6" s="13">
        <v>-88</v>
      </c>
      <c r="AV6" s="13">
        <v>-25</v>
      </c>
      <c r="AW6" s="14">
        <f>AV6/(AT6-AV6)</f>
        <v>-4.4770773638968479E-3</v>
      </c>
    </row>
    <row r="7" spans="1:52" s="2" customFormat="1" ht="50.15" customHeight="1" x14ac:dyDescent="0.25">
      <c r="A7" s="9" t="s">
        <v>13</v>
      </c>
      <c r="B7" s="19">
        <v>38306.57</v>
      </c>
      <c r="C7" s="19">
        <v>1647.04000000001</v>
      </c>
      <c r="D7" s="19">
        <v>1216.6800000000101</v>
      </c>
      <c r="E7" s="20">
        <f t="shared" ref="E7:E15" si="4">D7/(B7-D7)</f>
        <v>3.2803548352394962E-2</v>
      </c>
      <c r="F7" s="13">
        <v>36562.78</v>
      </c>
      <c r="G7" s="13">
        <v>1664.76</v>
      </c>
      <c r="H7" s="13">
        <v>1183.3499999999999</v>
      </c>
      <c r="I7" s="14">
        <f t="shared" ref="I7:I15" si="5">H7/(F7-H7)</f>
        <v>3.344740149855438E-2</v>
      </c>
      <c r="J7" s="30">
        <f t="shared" ref="J7:K13" si="6">B7-F7</f>
        <v>1743.7900000000009</v>
      </c>
      <c r="K7" s="30">
        <f t="shared" si="6"/>
        <v>-17.719999999990023</v>
      </c>
      <c r="L7" s="30">
        <f t="shared" ref="L7:L13" si="7">D7-H7</f>
        <v>33.330000000010159</v>
      </c>
      <c r="M7" s="31">
        <f t="shared" ref="M7:M15" si="8">L7/(J7-L7)</f>
        <v>1.9485986225933574E-2</v>
      </c>
      <c r="N7" s="25">
        <f t="shared" ref="N7:O14" si="9">F7-R7</f>
        <v>33966.909999999996</v>
      </c>
      <c r="O7" s="25">
        <f t="shared" si="9"/>
        <v>1413.6200000000001</v>
      </c>
      <c r="P7" s="25">
        <f t="shared" ref="P7:P13" si="10">H7-T7</f>
        <v>1145.0100000000002</v>
      </c>
      <c r="Q7" s="26">
        <f t="shared" ref="Q7:Q15" si="11">P7/(N7-P7)</f>
        <v>3.4885548977968993E-2</v>
      </c>
      <c r="R7" s="19">
        <f t="shared" ref="R7:R15" si="12">V7+Z7+AD7</f>
        <v>2595.87</v>
      </c>
      <c r="S7" s="19">
        <f t="shared" si="3"/>
        <v>251.1399999999999</v>
      </c>
      <c r="T7" s="19">
        <f t="shared" ref="T7:T15" si="13">X7+AB7+AF7</f>
        <v>38.339999999999698</v>
      </c>
      <c r="U7" s="20">
        <f t="shared" ref="U7:U15" si="14">T7/(R7-T7)</f>
        <v>1.4991026498222775E-2</v>
      </c>
      <c r="V7" s="13">
        <v>2385.87</v>
      </c>
      <c r="W7" s="13">
        <v>51.139999999999901</v>
      </c>
      <c r="X7" s="13">
        <v>-11.6600000000003</v>
      </c>
      <c r="Y7" s="14">
        <f t="shared" ref="Y7:Y15" si="15">X7/(V7-X7)</f>
        <v>-4.8633385192261612E-3</v>
      </c>
      <c r="Z7" s="30">
        <v>10</v>
      </c>
      <c r="AA7" s="30">
        <v>0</v>
      </c>
      <c r="AB7" s="30">
        <v>0</v>
      </c>
      <c r="AC7" s="31">
        <f>AB7/(Z7-AB7)</f>
        <v>0</v>
      </c>
      <c r="AD7" s="13">
        <v>200</v>
      </c>
      <c r="AE7" s="13">
        <v>200</v>
      </c>
      <c r="AF7" s="13">
        <v>50</v>
      </c>
      <c r="AG7" s="14">
        <f t="shared" si="2"/>
        <v>0.33333333333333331</v>
      </c>
      <c r="AH7" s="25">
        <v>10164.58</v>
      </c>
      <c r="AI7" s="25">
        <v>701.27</v>
      </c>
      <c r="AJ7" s="25">
        <v>519.92999999999995</v>
      </c>
      <c r="AK7" s="26">
        <f t="shared" ref="AK7:AK15" si="16">AJ7/(AH7-AJ7)</f>
        <v>5.3908643652180219E-2</v>
      </c>
      <c r="AL7" s="10">
        <v>4939.26</v>
      </c>
      <c r="AM7" s="10">
        <v>17.420000000000101</v>
      </c>
      <c r="AN7" s="10">
        <v>325.55</v>
      </c>
      <c r="AO7" s="11">
        <f t="shared" ref="AO7:AO15" si="17">AN7/(AL7-AN7)</f>
        <v>7.0561435374134923E-2</v>
      </c>
      <c r="AP7" s="25">
        <v>2902.8322549999998</v>
      </c>
      <c r="AQ7" s="25">
        <v>-80.578770000000105</v>
      </c>
      <c r="AR7" s="25">
        <v>-17.528210000000399</v>
      </c>
      <c r="AS7" s="26">
        <f t="shared" ref="AS7" si="18">AR7/(AP7-AR7)</f>
        <v>-6.0020707067065431E-3</v>
      </c>
      <c r="AT7" s="13">
        <v>5032.0953760000002</v>
      </c>
      <c r="AU7" s="13">
        <v>66.284418999999602</v>
      </c>
      <c r="AV7" s="13">
        <v>138.40014699999901</v>
      </c>
      <c r="AW7" s="14">
        <f t="shared" ref="AW7" si="19">AV7/(AT7-AV7)</f>
        <v>2.8281317189481025E-2</v>
      </c>
    </row>
    <row r="8" spans="1:52" s="2" customFormat="1" ht="50.15" customHeight="1" x14ac:dyDescent="0.25">
      <c r="A8" s="9" t="s">
        <v>8</v>
      </c>
      <c r="B8" s="19">
        <v>27797.836494423002</v>
      </c>
      <c r="C8" s="19">
        <v>909.59890687790198</v>
      </c>
      <c r="D8" s="19">
        <v>91.0741079688014</v>
      </c>
      <c r="E8" s="20">
        <f t="shared" si="4"/>
        <v>3.2870714628616231E-3</v>
      </c>
      <c r="F8" s="13">
        <v>26351.190125892201</v>
      </c>
      <c r="G8" s="13">
        <v>875.18491561560199</v>
      </c>
      <c r="H8" s="13">
        <v>-58.499529971100898</v>
      </c>
      <c r="I8" s="14">
        <f t="shared" si="5"/>
        <v>-2.2150782812441427E-3</v>
      </c>
      <c r="J8" s="30">
        <f t="shared" si="6"/>
        <v>1446.6463685308008</v>
      </c>
      <c r="K8" s="30">
        <f t="shared" si="6"/>
        <v>34.413991262299987</v>
      </c>
      <c r="L8" s="30">
        <f t="shared" si="7"/>
        <v>149.57363793990231</v>
      </c>
      <c r="M8" s="31">
        <f>L8/(J8-L8)</f>
        <v>0.1153163075687838</v>
      </c>
      <c r="N8" s="25">
        <f t="shared" si="9"/>
        <v>23032.7143962925</v>
      </c>
      <c r="O8" s="25">
        <f t="shared" si="9"/>
        <v>597.737934115602</v>
      </c>
      <c r="P8" s="25">
        <f t="shared" si="10"/>
        <v>-294.90090653800092</v>
      </c>
      <c r="Q8" s="26">
        <f t="shared" si="11"/>
        <v>-1.264170823762764E-2</v>
      </c>
      <c r="R8" s="19">
        <f t="shared" si="12"/>
        <v>3318.4757295997001</v>
      </c>
      <c r="S8" s="19">
        <f t="shared" si="3"/>
        <v>277.44698150000005</v>
      </c>
      <c r="T8" s="19">
        <f t="shared" si="13"/>
        <v>236.40137656690004</v>
      </c>
      <c r="U8" s="20">
        <f>T8/(R8-T8)</f>
        <v>7.6702035541186125E-2</v>
      </c>
      <c r="V8" s="13">
        <v>1342.8518195997001</v>
      </c>
      <c r="W8" s="13">
        <v>118.5469975</v>
      </c>
      <c r="X8" s="13">
        <v>176.4013925669</v>
      </c>
      <c r="Y8" s="14">
        <f>X8/(V8-X8)</f>
        <v>0.15122922370188277</v>
      </c>
      <c r="Z8" s="30">
        <v>1600.62391</v>
      </c>
      <c r="AA8" s="30">
        <v>-1.59999999596039E-5</v>
      </c>
      <c r="AB8" s="30">
        <v>-1.59999999596039E-5</v>
      </c>
      <c r="AC8" s="31">
        <f>AB8/(Z8-AB8)</f>
        <v>-9.9961019573088033E-9</v>
      </c>
      <c r="AD8" s="13">
        <v>375</v>
      </c>
      <c r="AE8" s="13">
        <v>158.9</v>
      </c>
      <c r="AF8" s="13">
        <v>60</v>
      </c>
      <c r="AG8" s="14">
        <f t="shared" si="2"/>
        <v>0.19047619047619047</v>
      </c>
      <c r="AH8" s="25">
        <v>5078</v>
      </c>
      <c r="AI8" s="25">
        <v>438</v>
      </c>
      <c r="AJ8" s="25">
        <v>222</v>
      </c>
      <c r="AK8" s="26">
        <f>AJ8/(AH8-AJ8)</f>
        <v>4.5716639209225703E-2</v>
      </c>
      <c r="AL8" s="10">
        <v>3402.650819</v>
      </c>
      <c r="AM8" s="10">
        <v>-30.5181280000002</v>
      </c>
      <c r="AN8" s="10">
        <v>13.241818</v>
      </c>
      <c r="AO8" s="11">
        <f>AN8/(AL8-AN8)</f>
        <v>3.9068221026418402E-3</v>
      </c>
      <c r="AP8" s="25">
        <v>1698</v>
      </c>
      <c r="AQ8" s="25">
        <v>-74</v>
      </c>
      <c r="AR8" s="25">
        <v>-106</v>
      </c>
      <c r="AS8" s="26">
        <f>AR8/(AP8-AR8)</f>
        <v>-5.8758314855875834E-2</v>
      </c>
      <c r="AT8" s="13">
        <v>3018</v>
      </c>
      <c r="AU8" s="13">
        <v>-36</v>
      </c>
      <c r="AV8" s="13">
        <v>45</v>
      </c>
      <c r="AW8" s="14">
        <f>AV8/(AT8-AV8)</f>
        <v>1.5136226034308779E-2</v>
      </c>
    </row>
    <row r="9" spans="1:52" s="2" customFormat="1" ht="50.15" customHeight="1" x14ac:dyDescent="0.25">
      <c r="A9" s="9" t="s">
        <v>7</v>
      </c>
      <c r="B9" s="19">
        <v>51627.877619899999</v>
      </c>
      <c r="C9" s="19">
        <v>1540.1536994999999</v>
      </c>
      <c r="D9" s="19">
        <v>374.84109799999999</v>
      </c>
      <c r="E9" s="20">
        <f t="shared" si="4"/>
        <v>7.3135393224913314E-3</v>
      </c>
      <c r="F9" s="13">
        <v>49320.07</v>
      </c>
      <c r="G9" s="13">
        <v>1557.99</v>
      </c>
      <c r="H9" s="13">
        <v>368.65</v>
      </c>
      <c r="I9" s="14">
        <f t="shared" si="5"/>
        <v>7.5309357726497002E-3</v>
      </c>
      <c r="J9" s="30">
        <f t="shared" si="6"/>
        <v>2307.8076198999988</v>
      </c>
      <c r="K9" s="30">
        <f t="shared" si="6"/>
        <v>-17.836300500000107</v>
      </c>
      <c r="L9" s="30">
        <f>D9-H9</f>
        <v>6.1910980000000109</v>
      </c>
      <c r="M9" s="31">
        <f t="shared" si="8"/>
        <v>2.6898911878201247E-3</v>
      </c>
      <c r="N9" s="25">
        <f t="shared" si="9"/>
        <v>47765.761513500001</v>
      </c>
      <c r="O9" s="25">
        <f t="shared" si="9"/>
        <v>1643.6702068</v>
      </c>
      <c r="P9" s="25">
        <f t="shared" si="10"/>
        <v>220.92147279999998</v>
      </c>
      <c r="Q9" s="26">
        <f t="shared" si="11"/>
        <v>4.6465919879188503E-3</v>
      </c>
      <c r="R9" s="19">
        <f t="shared" si="12"/>
        <v>1554.3084865000001</v>
      </c>
      <c r="S9" s="19">
        <f t="shared" si="3"/>
        <v>-85.680206799999993</v>
      </c>
      <c r="T9" s="19">
        <f t="shared" si="13"/>
        <v>147.7285272</v>
      </c>
      <c r="U9" s="20">
        <f t="shared" si="14"/>
        <v>0.10502675388146346</v>
      </c>
      <c r="V9" s="13">
        <v>1504.3084865000001</v>
      </c>
      <c r="W9" s="13">
        <v>-85.680206799999993</v>
      </c>
      <c r="X9" s="13">
        <v>137.7285272</v>
      </c>
      <c r="Y9" s="14">
        <f t="shared" si="15"/>
        <v>0.10078336526356521</v>
      </c>
      <c r="Z9" s="30">
        <v>50</v>
      </c>
      <c r="AA9" s="30">
        <v>0</v>
      </c>
      <c r="AB9" s="30">
        <v>10</v>
      </c>
      <c r="AC9" s="31">
        <f>AB9/(Z9-AB9)</f>
        <v>0.25</v>
      </c>
      <c r="AD9" s="13">
        <v>0</v>
      </c>
      <c r="AE9" s="13">
        <v>0</v>
      </c>
      <c r="AF9" s="13">
        <v>0</v>
      </c>
      <c r="AG9" s="27" t="s">
        <v>21</v>
      </c>
      <c r="AH9" s="25">
        <v>11447.57</v>
      </c>
      <c r="AI9" s="25">
        <v>769.92</v>
      </c>
      <c r="AJ9" s="25">
        <v>11.26</v>
      </c>
      <c r="AK9" s="26">
        <f t="shared" si="16"/>
        <v>9.8458331402349192E-4</v>
      </c>
      <c r="AL9" s="10">
        <v>4618.1832877999996</v>
      </c>
      <c r="AM9" s="10">
        <v>211.0012907</v>
      </c>
      <c r="AN9" s="10">
        <v>577.12751639999999</v>
      </c>
      <c r="AO9" s="11">
        <f t="shared" si="17"/>
        <v>0.14281602359574899</v>
      </c>
      <c r="AP9" s="25">
        <v>2024.36</v>
      </c>
      <c r="AQ9" s="25">
        <v>-20</v>
      </c>
      <c r="AR9" s="25">
        <v>-43.19</v>
      </c>
      <c r="AS9" s="26">
        <f t="shared" ref="AS9:AS15" si="20">AR9/(AP9-AR9)</f>
        <v>-2.0889458537883002E-2</v>
      </c>
      <c r="AT9" s="13">
        <v>5267.0240419000002</v>
      </c>
      <c r="AU9" s="13">
        <v>12.2122391</v>
      </c>
      <c r="AV9" s="13">
        <v>27.753366400000001</v>
      </c>
      <c r="AW9" s="14">
        <f t="shared" ref="AW9:AW15" si="21">AV9/(AT9-AV9)</f>
        <v>5.2971812526848329E-3</v>
      </c>
    </row>
    <row r="10" spans="1:52" s="2" customFormat="1" ht="50.15" customHeight="1" x14ac:dyDescent="0.25">
      <c r="A10" s="9" t="s">
        <v>9</v>
      </c>
      <c r="B10" s="19">
        <v>40227.769999999997</v>
      </c>
      <c r="C10" s="19">
        <v>1737.19</v>
      </c>
      <c r="D10" s="19">
        <v>335.599999999999</v>
      </c>
      <c r="E10" s="20">
        <f t="shared" si="4"/>
        <v>8.4126784780070626E-3</v>
      </c>
      <c r="F10" s="13">
        <v>38768.68</v>
      </c>
      <c r="G10" s="13">
        <v>1733.49</v>
      </c>
      <c r="H10" s="13">
        <v>266.98000000000297</v>
      </c>
      <c r="I10" s="14">
        <f t="shared" si="5"/>
        <v>6.9342392673571035E-3</v>
      </c>
      <c r="J10" s="30">
        <f t="shared" si="6"/>
        <v>1459.0899999999965</v>
      </c>
      <c r="K10" s="30">
        <f t="shared" si="6"/>
        <v>3.7000000000000455</v>
      </c>
      <c r="L10" s="30">
        <f t="shared" si="7"/>
        <v>68.619999999996026</v>
      </c>
      <c r="M10" s="31">
        <f t="shared" si="8"/>
        <v>4.9350219709879392E-2</v>
      </c>
      <c r="N10" s="25">
        <f t="shared" si="9"/>
        <v>36515.851444448803</v>
      </c>
      <c r="O10" s="25">
        <f t="shared" si="9"/>
        <v>1873.8027161993</v>
      </c>
      <c r="P10" s="25">
        <f t="shared" si="10"/>
        <v>-69.684283800697017</v>
      </c>
      <c r="Q10" s="26">
        <f t="shared" si="11"/>
        <v>-1.9046949132656907E-3</v>
      </c>
      <c r="R10" s="19">
        <f t="shared" si="12"/>
        <v>2252.8285555511998</v>
      </c>
      <c r="S10" s="19">
        <f t="shared" si="3"/>
        <v>-140.31271619930001</v>
      </c>
      <c r="T10" s="19">
        <f t="shared" si="13"/>
        <v>336.66428380069999</v>
      </c>
      <c r="U10" s="20">
        <f t="shared" si="14"/>
        <v>0.17569698421166285</v>
      </c>
      <c r="V10" s="13">
        <v>2069.2885555511998</v>
      </c>
      <c r="W10" s="13">
        <v>-140.31271619930001</v>
      </c>
      <c r="X10" s="13">
        <v>331.66428380069999</v>
      </c>
      <c r="Y10" s="14">
        <f t="shared" si="15"/>
        <v>0.19087226691796733</v>
      </c>
      <c r="Z10" s="30">
        <v>178.54</v>
      </c>
      <c r="AA10" s="30">
        <v>0</v>
      </c>
      <c r="AB10" s="30">
        <v>0</v>
      </c>
      <c r="AC10" s="31">
        <f t="shared" ref="AC10:AC15" si="22">AB10/(Z10-AB10)</f>
        <v>0</v>
      </c>
      <c r="AD10" s="13">
        <v>5</v>
      </c>
      <c r="AE10" s="13">
        <v>0</v>
      </c>
      <c r="AF10" s="13">
        <v>5</v>
      </c>
      <c r="AG10" s="27" t="s">
        <v>21</v>
      </c>
      <c r="AH10" s="25">
        <v>7223.8749271276001</v>
      </c>
      <c r="AI10" s="25">
        <v>1034.4895484471001</v>
      </c>
      <c r="AJ10" s="25">
        <v>-220.33545349580001</v>
      </c>
      <c r="AK10" s="26">
        <f t="shared" si="16"/>
        <v>-2.9598230333376E-2</v>
      </c>
      <c r="AL10" s="10">
        <v>5132.7113801810001</v>
      </c>
      <c r="AM10" s="10">
        <v>-2.6146839122002299</v>
      </c>
      <c r="AN10" s="10">
        <v>275.01543994180003</v>
      </c>
      <c r="AO10" s="11">
        <f t="shared" si="17"/>
        <v>5.6614379188224331E-2</v>
      </c>
      <c r="AP10" s="25">
        <v>3090.4442887924001</v>
      </c>
      <c r="AQ10" s="25">
        <v>-59.680820567100497</v>
      </c>
      <c r="AR10" s="25">
        <v>-16.555569218300199</v>
      </c>
      <c r="AS10" s="26">
        <f t="shared" si="20"/>
        <v>-5.3284744045338107E-3</v>
      </c>
      <c r="AT10" s="13">
        <v>7887.0949040914002</v>
      </c>
      <c r="AU10" s="13">
        <v>81.194219606500198</v>
      </c>
      <c r="AV10" s="13">
        <v>170.73044652319999</v>
      </c>
      <c r="AW10" s="14">
        <f t="shared" si="21"/>
        <v>2.2125762392644348E-2</v>
      </c>
    </row>
    <row r="11" spans="1:52" s="2" customFormat="1" ht="50.15" customHeight="1" x14ac:dyDescent="0.25">
      <c r="A11" s="9" t="s">
        <v>10</v>
      </c>
      <c r="B11" s="19">
        <v>26510.3036772833</v>
      </c>
      <c r="C11" s="19">
        <v>857.29180474550003</v>
      </c>
      <c r="D11" s="19">
        <v>647.88068583799998</v>
      </c>
      <c r="E11" s="20">
        <f t="shared" si="4"/>
        <v>2.5051043595269638E-2</v>
      </c>
      <c r="F11" s="13">
        <v>25847.994641472498</v>
      </c>
      <c r="G11" s="13">
        <v>861.75833323610004</v>
      </c>
      <c r="H11" s="13">
        <v>568.4400420549</v>
      </c>
      <c r="I11" s="14">
        <f t="shared" si="5"/>
        <v>2.2486157333958565E-2</v>
      </c>
      <c r="J11" s="30">
        <f t="shared" si="6"/>
        <v>662.30903581080202</v>
      </c>
      <c r="K11" s="30">
        <f t="shared" si="6"/>
        <v>-4.4665284906000124</v>
      </c>
      <c r="L11" s="30">
        <f t="shared" si="7"/>
        <v>79.440643783099972</v>
      </c>
      <c r="M11" s="31">
        <f t="shared" si="8"/>
        <v>0.13629259172338923</v>
      </c>
      <c r="N11" s="25">
        <f t="shared" si="9"/>
        <v>23067.479341472499</v>
      </c>
      <c r="O11" s="25">
        <f t="shared" si="9"/>
        <v>432.23303323610003</v>
      </c>
      <c r="P11" s="25">
        <f t="shared" si="10"/>
        <v>-268.04025794510005</v>
      </c>
      <c r="Q11" s="26">
        <f t="shared" si="11"/>
        <v>-1.1486363387074086E-2</v>
      </c>
      <c r="R11" s="19">
        <f t="shared" si="12"/>
        <v>2780.5153</v>
      </c>
      <c r="S11" s="19">
        <f t="shared" si="3"/>
        <v>429.52530000000002</v>
      </c>
      <c r="T11" s="19">
        <f t="shared" si="13"/>
        <v>836.48030000000006</v>
      </c>
      <c r="U11" s="20">
        <f t="shared" si="14"/>
        <v>0.43028047334538738</v>
      </c>
      <c r="V11" s="13">
        <v>2105.5153</v>
      </c>
      <c r="W11" s="13">
        <v>175.3253</v>
      </c>
      <c r="X11" s="13">
        <v>776.48030000000006</v>
      </c>
      <c r="Y11" s="14">
        <f t="shared" si="15"/>
        <v>0.58424368056522225</v>
      </c>
      <c r="Z11" s="30">
        <v>300</v>
      </c>
      <c r="AA11" s="30">
        <v>0</v>
      </c>
      <c r="AB11" s="30">
        <v>0</v>
      </c>
      <c r="AC11" s="31">
        <f t="shared" si="22"/>
        <v>0</v>
      </c>
      <c r="AD11" s="13">
        <v>375</v>
      </c>
      <c r="AE11" s="13">
        <v>254.2</v>
      </c>
      <c r="AF11" s="13">
        <v>60</v>
      </c>
      <c r="AG11" s="14">
        <f t="shared" si="2"/>
        <v>0.19047619047619047</v>
      </c>
      <c r="AH11" s="25">
        <v>3773.3039096347002</v>
      </c>
      <c r="AI11" s="25">
        <v>389.29303975940002</v>
      </c>
      <c r="AJ11" s="25">
        <v>10.228187349100001</v>
      </c>
      <c r="AK11" s="26">
        <f t="shared" si="16"/>
        <v>2.7180392062075356E-3</v>
      </c>
      <c r="AL11" s="13">
        <v>2918.2967440000002</v>
      </c>
      <c r="AM11" s="13">
        <v>115.85603334</v>
      </c>
      <c r="AN11" s="13">
        <v>24.384143999999999</v>
      </c>
      <c r="AO11" s="14">
        <f t="shared" si="17"/>
        <v>8.4260125893228423E-3</v>
      </c>
      <c r="AP11" s="25">
        <v>1593.4160999999999</v>
      </c>
      <c r="AQ11" s="25">
        <v>-2.6107999999999998</v>
      </c>
      <c r="AR11" s="25">
        <v>-108.28579999999999</v>
      </c>
      <c r="AS11" s="26">
        <f t="shared" si="20"/>
        <v>-6.3633824467140804E-2</v>
      </c>
      <c r="AT11" s="13">
        <v>6768.5601462304003</v>
      </c>
      <c r="AU11" s="13">
        <v>-122.2223339781</v>
      </c>
      <c r="AV11" s="13">
        <v>-49.289706185100002</v>
      </c>
      <c r="AW11" s="14">
        <f t="shared" si="21"/>
        <v>-7.2295088997357607E-3</v>
      </c>
    </row>
    <row r="12" spans="1:52" s="2" customFormat="1" ht="50.15" customHeight="1" x14ac:dyDescent="0.25">
      <c r="A12" s="15" t="s">
        <v>11</v>
      </c>
      <c r="B12" s="19">
        <v>23156.557201833901</v>
      </c>
      <c r="C12" s="19">
        <v>1308.9680493101</v>
      </c>
      <c r="D12" s="19">
        <v>670.48366428930001</v>
      </c>
      <c r="E12" s="20">
        <f t="shared" si="4"/>
        <v>2.981772976815206E-2</v>
      </c>
      <c r="F12" s="13">
        <v>20988.087801833299</v>
      </c>
      <c r="G12" s="13">
        <v>1187.9319355859</v>
      </c>
      <c r="H12" s="13">
        <v>313.59608994759998</v>
      </c>
      <c r="I12" s="14">
        <f t="shared" si="5"/>
        <v>1.516826117506505E-2</v>
      </c>
      <c r="J12" s="30">
        <f>B12-F12</f>
        <v>2168.469400000602</v>
      </c>
      <c r="K12" s="30">
        <f t="shared" si="6"/>
        <v>121.03611372420005</v>
      </c>
      <c r="L12" s="30">
        <f t="shared" si="7"/>
        <v>356.88757434170003</v>
      </c>
      <c r="M12" s="31">
        <f t="shared" si="8"/>
        <v>0.19700328700962438</v>
      </c>
      <c r="N12" s="25">
        <f t="shared" si="9"/>
        <v>19376.927801833299</v>
      </c>
      <c r="O12" s="25">
        <f t="shared" si="9"/>
        <v>1176.7169355859</v>
      </c>
      <c r="P12" s="25">
        <f t="shared" si="10"/>
        <v>204.70508994759996</v>
      </c>
      <c r="Q12" s="26">
        <f t="shared" si="11"/>
        <v>1.0677170457690038E-2</v>
      </c>
      <c r="R12" s="19">
        <f t="shared" si="12"/>
        <v>1611.1599999999999</v>
      </c>
      <c r="S12" s="19">
        <f t="shared" si="3"/>
        <v>11.215</v>
      </c>
      <c r="T12" s="19">
        <f t="shared" si="13"/>
        <v>108.89100000000002</v>
      </c>
      <c r="U12" s="20">
        <f t="shared" si="14"/>
        <v>7.2484355331834741E-2</v>
      </c>
      <c r="V12" s="13">
        <v>1307.8</v>
      </c>
      <c r="W12" s="13">
        <v>11.215</v>
      </c>
      <c r="X12" s="13">
        <v>185.49100000000001</v>
      </c>
      <c r="Y12" s="14">
        <f t="shared" si="15"/>
        <v>0.16527622963016425</v>
      </c>
      <c r="Z12" s="30">
        <v>303.36</v>
      </c>
      <c r="AA12" s="30">
        <v>0</v>
      </c>
      <c r="AB12" s="30">
        <v>-46.6</v>
      </c>
      <c r="AC12" s="31">
        <f t="shared" si="22"/>
        <v>-0.13315807520859527</v>
      </c>
      <c r="AD12" s="13">
        <v>0</v>
      </c>
      <c r="AE12" s="13">
        <v>0</v>
      </c>
      <c r="AF12" s="13">
        <v>-30</v>
      </c>
      <c r="AG12" s="14">
        <f t="shared" si="2"/>
        <v>-1</v>
      </c>
      <c r="AH12" s="75">
        <v>3386.3857947258002</v>
      </c>
      <c r="AI12" s="75">
        <v>343.713453937</v>
      </c>
      <c r="AJ12" s="75">
        <v>-87.564570955199997</v>
      </c>
      <c r="AK12" s="76">
        <f t="shared" si="16"/>
        <v>-2.5206051249392181E-2</v>
      </c>
      <c r="AL12" s="13">
        <v>1707.1657</v>
      </c>
      <c r="AM12" s="13">
        <v>9.5668000000000006</v>
      </c>
      <c r="AN12" s="13">
        <v>103.1052</v>
      </c>
      <c r="AO12" s="14">
        <f t="shared" si="17"/>
        <v>6.4277625438691366E-2</v>
      </c>
      <c r="AP12" s="75">
        <v>864.0059</v>
      </c>
      <c r="AQ12" s="75">
        <v>-61.99</v>
      </c>
      <c r="AR12" s="75">
        <v>-53.412799999999898</v>
      </c>
      <c r="AS12" s="76">
        <f t="shared" si="20"/>
        <v>-5.8220744791881725E-2</v>
      </c>
      <c r="AT12" s="75">
        <v>3282.2118893527399</v>
      </c>
      <c r="AU12" s="75">
        <v>-11.2146051025611</v>
      </c>
      <c r="AV12" s="75">
        <v>16.1237877181293</v>
      </c>
      <c r="AW12" s="76">
        <f t="shared" si="21"/>
        <v>4.9367277355622076E-3</v>
      </c>
    </row>
    <row r="13" spans="1:52" s="2" customFormat="1" ht="50.15" customHeight="1" x14ac:dyDescent="0.25">
      <c r="A13" s="15" t="s">
        <v>14</v>
      </c>
      <c r="B13" s="19">
        <v>18167.199799999999</v>
      </c>
      <c r="C13" s="19">
        <v>557.64350000000002</v>
      </c>
      <c r="D13" s="19">
        <v>1073.1293000000001</v>
      </c>
      <c r="E13" s="20">
        <f t="shared" si="4"/>
        <v>6.2777867916246177E-2</v>
      </c>
      <c r="F13" s="13">
        <v>17804.058300000001</v>
      </c>
      <c r="G13" s="13">
        <v>601.51869999999997</v>
      </c>
      <c r="H13" s="13">
        <v>1064.3434</v>
      </c>
      <c r="I13" s="14">
        <f t="shared" si="5"/>
        <v>6.358193113551773E-2</v>
      </c>
      <c r="J13" s="30">
        <f t="shared" si="6"/>
        <v>363.1414999999979</v>
      </c>
      <c r="K13" s="30">
        <f t="shared" si="6"/>
        <v>-43.87519999999995</v>
      </c>
      <c r="L13" s="30">
        <f t="shared" si="7"/>
        <v>8.7859000000000833</v>
      </c>
      <c r="M13" s="31">
        <f t="shared" si="8"/>
        <v>2.4794020469833516E-2</v>
      </c>
      <c r="N13" s="25">
        <f t="shared" si="9"/>
        <v>15698.7703</v>
      </c>
      <c r="O13" s="25">
        <f t="shared" si="9"/>
        <v>597.8057</v>
      </c>
      <c r="P13" s="25">
        <f t="shared" si="10"/>
        <v>792.44740000000002</v>
      </c>
      <c r="Q13" s="26">
        <f t="shared" si="11"/>
        <v>5.3161829736024305E-2</v>
      </c>
      <c r="R13" s="19">
        <f t="shared" si="12"/>
        <v>2105.288</v>
      </c>
      <c r="S13" s="19">
        <f t="shared" si="3"/>
        <v>3.7129999999999699</v>
      </c>
      <c r="T13" s="19">
        <f t="shared" si="13"/>
        <v>271.89600000000002</v>
      </c>
      <c r="U13" s="20">
        <f t="shared" si="14"/>
        <v>0.14830216342167959</v>
      </c>
      <c r="V13" s="13">
        <v>1213.788</v>
      </c>
      <c r="W13" s="13">
        <v>3.2129999999999699</v>
      </c>
      <c r="X13" s="13">
        <v>271.39600000000002</v>
      </c>
      <c r="Y13" s="14">
        <f t="shared" si="15"/>
        <v>0.2879863156733079</v>
      </c>
      <c r="Z13" s="30">
        <v>891</v>
      </c>
      <c r="AA13" s="30">
        <v>0</v>
      </c>
      <c r="AB13" s="30">
        <v>0</v>
      </c>
      <c r="AC13" s="31">
        <f>AB13/(Z13-AB13)</f>
        <v>0</v>
      </c>
      <c r="AD13" s="13">
        <v>0.5</v>
      </c>
      <c r="AE13" s="13">
        <v>0.5</v>
      </c>
      <c r="AF13" s="13">
        <v>0.5</v>
      </c>
      <c r="AG13" s="27" t="s">
        <v>21</v>
      </c>
      <c r="AH13" s="25">
        <v>3429.83911706863</v>
      </c>
      <c r="AI13" s="25">
        <v>316.78750462412</v>
      </c>
      <c r="AJ13" s="25">
        <v>245.74805018983</v>
      </c>
      <c r="AK13" s="26">
        <f t="shared" si="16"/>
        <v>7.7179969111475233E-2</v>
      </c>
      <c r="AL13" s="10">
        <v>1643.260857385</v>
      </c>
      <c r="AM13" s="10">
        <v>27.046567356099999</v>
      </c>
      <c r="AN13" s="10">
        <v>237.27531068939999</v>
      </c>
      <c r="AO13" s="11">
        <f t="shared" si="17"/>
        <v>0.16876084625980212</v>
      </c>
      <c r="AP13" s="25">
        <v>773.77220000001103</v>
      </c>
      <c r="AQ13" s="25">
        <v>-7.2649999999989596</v>
      </c>
      <c r="AR13" s="25">
        <v>-52.536099999999898</v>
      </c>
      <c r="AS13" s="26">
        <f t="shared" si="20"/>
        <v>-6.3579296008522732E-2</v>
      </c>
      <c r="AT13" s="13">
        <v>2322.7946976550902</v>
      </c>
      <c r="AU13" s="13">
        <v>26.552437814100401</v>
      </c>
      <c r="AV13" s="13">
        <v>52.277513344300097</v>
      </c>
      <c r="AW13" s="14">
        <f t="shared" si="21"/>
        <v>2.3024495786923015E-2</v>
      </c>
    </row>
    <row r="14" spans="1:52" ht="50.15" customHeight="1" x14ac:dyDescent="0.25">
      <c r="A14" s="16" t="s">
        <v>19</v>
      </c>
      <c r="B14" s="19">
        <v>13787</v>
      </c>
      <c r="C14" s="19">
        <v>248</v>
      </c>
      <c r="D14" s="19">
        <v>554</v>
      </c>
      <c r="E14" s="20">
        <f t="shared" si="4"/>
        <v>4.1865034383737627E-2</v>
      </c>
      <c r="F14" s="13">
        <v>13554</v>
      </c>
      <c r="G14" s="13">
        <v>272</v>
      </c>
      <c r="H14" s="13">
        <v>575</v>
      </c>
      <c r="I14" s="14">
        <f t="shared" si="5"/>
        <v>4.4302334540411437E-2</v>
      </c>
      <c r="J14" s="30">
        <f t="shared" ref="J14" si="23">B14-F14</f>
        <v>233</v>
      </c>
      <c r="K14" s="30">
        <f t="shared" ref="K14" si="24">C14-G14</f>
        <v>-24</v>
      </c>
      <c r="L14" s="30">
        <f t="shared" ref="L14" si="25">D14-H14</f>
        <v>-21</v>
      </c>
      <c r="M14" s="31">
        <f t="shared" si="8"/>
        <v>-8.2677165354330714E-2</v>
      </c>
      <c r="N14" s="25">
        <f t="shared" si="9"/>
        <v>12197</v>
      </c>
      <c r="O14" s="25">
        <f t="shared" si="9"/>
        <v>195</v>
      </c>
      <c r="P14" s="25">
        <f>H14-T14</f>
        <v>327</v>
      </c>
      <c r="Q14" s="26">
        <f t="shared" si="11"/>
        <v>2.754844144903117E-2</v>
      </c>
      <c r="R14" s="19">
        <f t="shared" si="12"/>
        <v>1357</v>
      </c>
      <c r="S14" s="19">
        <f t="shared" si="3"/>
        <v>77</v>
      </c>
      <c r="T14" s="19">
        <f t="shared" si="13"/>
        <v>248</v>
      </c>
      <c r="U14" s="20">
        <f t="shared" si="14"/>
        <v>0.22362488728584309</v>
      </c>
      <c r="V14" s="13">
        <v>1357</v>
      </c>
      <c r="W14" s="13">
        <v>77</v>
      </c>
      <c r="X14" s="13">
        <v>248</v>
      </c>
      <c r="Y14" s="14">
        <f t="shared" si="15"/>
        <v>0.22362488728584309</v>
      </c>
      <c r="Z14" s="30">
        <v>0</v>
      </c>
      <c r="AA14" s="30">
        <v>0</v>
      </c>
      <c r="AB14" s="30">
        <v>0</v>
      </c>
      <c r="AC14" s="31" t="s">
        <v>24</v>
      </c>
      <c r="AD14" s="13">
        <v>0</v>
      </c>
      <c r="AE14" s="13">
        <v>0</v>
      </c>
      <c r="AF14" s="13">
        <v>0</v>
      </c>
      <c r="AG14" s="27" t="s">
        <v>21</v>
      </c>
      <c r="AH14" s="25">
        <v>2347</v>
      </c>
      <c r="AI14" s="25">
        <v>100</v>
      </c>
      <c r="AJ14" s="25">
        <v>234</v>
      </c>
      <c r="AK14" s="26">
        <f t="shared" si="16"/>
        <v>0.11074301940369144</v>
      </c>
      <c r="AL14" s="10">
        <v>1688</v>
      </c>
      <c r="AM14" s="10">
        <v>-24</v>
      </c>
      <c r="AN14" s="10">
        <v>-48</v>
      </c>
      <c r="AO14" s="11">
        <f t="shared" si="17"/>
        <v>-2.7649769585253458E-2</v>
      </c>
      <c r="AP14" s="25">
        <v>771</v>
      </c>
      <c r="AQ14" s="25">
        <v>-43</v>
      </c>
      <c r="AR14" s="25">
        <v>-134</v>
      </c>
      <c r="AS14" s="26">
        <f t="shared" si="20"/>
        <v>-0.14806629834254142</v>
      </c>
      <c r="AT14" s="13">
        <v>3191</v>
      </c>
      <c r="AU14" s="13">
        <v>27</v>
      </c>
      <c r="AV14" s="13">
        <v>61</v>
      </c>
      <c r="AW14" s="14">
        <f t="shared" si="21"/>
        <v>1.9488817891373803E-2</v>
      </c>
      <c r="AZ14" s="2"/>
    </row>
    <row r="15" spans="1:52" ht="50.15" customHeight="1" x14ac:dyDescent="0.25">
      <c r="A15" s="16" t="s">
        <v>23</v>
      </c>
      <c r="B15" s="19">
        <v>16515.879795595101</v>
      </c>
      <c r="C15" s="19">
        <v>719.60979559504995</v>
      </c>
      <c r="D15" s="19">
        <v>610.966866406534</v>
      </c>
      <c r="E15" s="20">
        <f t="shared" si="4"/>
        <v>3.8413719655471523E-2</v>
      </c>
      <c r="F15" s="13">
        <v>15271.3</v>
      </c>
      <c r="G15" s="13">
        <v>647.31581661869097</v>
      </c>
      <c r="H15" s="13">
        <v>553.16700948610003</v>
      </c>
      <c r="I15" s="14">
        <f t="shared" si="5"/>
        <v>3.7584047504029626E-2</v>
      </c>
      <c r="J15" s="30">
        <f t="shared" ref="J15" si="26">B15-F15</f>
        <v>1244.579795595102</v>
      </c>
      <c r="K15" s="30">
        <f t="shared" ref="K15" si="27">C15-G15</f>
        <v>72.293978976358972</v>
      </c>
      <c r="L15" s="30">
        <f t="shared" ref="L15" si="28">D15-H15</f>
        <v>57.799856920433967</v>
      </c>
      <c r="M15" s="31">
        <f t="shared" si="8"/>
        <v>4.8703095693529951E-2</v>
      </c>
      <c r="N15" s="25">
        <f t="shared" ref="N15" si="29">F15-R15</f>
        <v>14183.64</v>
      </c>
      <c r="O15" s="25">
        <f t="shared" ref="O15" si="30">G15-S15</f>
        <v>680.785816618691</v>
      </c>
      <c r="P15" s="25">
        <f>H15-T15</f>
        <v>564.62600948609997</v>
      </c>
      <c r="Q15" s="26">
        <f t="shared" si="11"/>
        <v>4.1458655514957317E-2</v>
      </c>
      <c r="R15" s="19">
        <f t="shared" si="12"/>
        <v>1087.6600000000001</v>
      </c>
      <c r="S15" s="19">
        <f t="shared" si="3"/>
        <v>-33.47</v>
      </c>
      <c r="T15" s="19">
        <f t="shared" si="13"/>
        <v>-11.4589999999999</v>
      </c>
      <c r="U15" s="20">
        <f t="shared" si="14"/>
        <v>-1.0425622703274079E-2</v>
      </c>
      <c r="V15" s="13">
        <v>760.98</v>
      </c>
      <c r="W15" s="13">
        <v>-33.47</v>
      </c>
      <c r="X15" s="13">
        <v>-11.4589999999999</v>
      </c>
      <c r="Y15" s="14">
        <f t="shared" si="15"/>
        <v>-1.4834828381270107E-2</v>
      </c>
      <c r="Z15" s="30">
        <v>326.68</v>
      </c>
      <c r="AA15" s="30">
        <v>0</v>
      </c>
      <c r="AB15" s="30">
        <v>0</v>
      </c>
      <c r="AC15" s="31">
        <f t="shared" si="22"/>
        <v>0</v>
      </c>
      <c r="AD15" s="13">
        <v>0</v>
      </c>
      <c r="AE15" s="13">
        <v>0</v>
      </c>
      <c r="AF15" s="13">
        <v>0</v>
      </c>
      <c r="AG15" s="27" t="s">
        <v>21</v>
      </c>
      <c r="AH15" s="25">
        <v>1618.65</v>
      </c>
      <c r="AI15" s="25">
        <v>153.79265392830001</v>
      </c>
      <c r="AJ15" s="25">
        <v>86.642880220700107</v>
      </c>
      <c r="AK15" s="26">
        <f t="shared" si="16"/>
        <v>5.6555142010816392E-2</v>
      </c>
      <c r="AL15" s="10">
        <v>1851.6244325600001</v>
      </c>
      <c r="AM15" s="10">
        <v>-41.123700000000099</v>
      </c>
      <c r="AN15" s="10">
        <v>-44.439100000000103</v>
      </c>
      <c r="AO15" s="11">
        <f t="shared" si="17"/>
        <v>-2.3437558518938417E-2</v>
      </c>
      <c r="AP15" s="25">
        <v>1378.76</v>
      </c>
      <c r="AQ15" s="25">
        <v>-22.24</v>
      </c>
      <c r="AR15" s="25">
        <v>-24.24</v>
      </c>
      <c r="AS15" s="26">
        <f t="shared" si="20"/>
        <v>-1.7277263007840341E-2</v>
      </c>
      <c r="AT15" s="13">
        <v>2925.32</v>
      </c>
      <c r="AU15" s="13">
        <v>203.32</v>
      </c>
      <c r="AV15" s="13">
        <v>167.32</v>
      </c>
      <c r="AW15" s="14">
        <f t="shared" si="21"/>
        <v>6.0667150108774472E-2</v>
      </c>
      <c r="AZ15" s="2"/>
    </row>
    <row r="16" spans="1:52" x14ac:dyDescent="0.25">
      <c r="B16" s="5"/>
      <c r="C16" s="5"/>
      <c r="D16" s="5"/>
      <c r="E16" s="5"/>
      <c r="F16" s="5"/>
      <c r="G16" s="5"/>
      <c r="H16" s="5"/>
      <c r="O16" s="2"/>
      <c r="P16" s="2"/>
      <c r="Q16" s="6"/>
      <c r="R16" s="6"/>
      <c r="S16" s="6"/>
      <c r="T16" s="6"/>
    </row>
    <row r="17" spans="1:49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7"/>
      <c r="W17" s="7"/>
      <c r="X17" s="7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ht="34.5" customHeight="1" x14ac:dyDescent="0.25">
      <c r="A18" s="65" t="s">
        <v>0</v>
      </c>
      <c r="B18" s="67" t="s">
        <v>30</v>
      </c>
      <c r="C18" s="67"/>
      <c r="D18" s="67"/>
      <c r="E18" s="67"/>
      <c r="F18" s="65" t="s">
        <v>31</v>
      </c>
      <c r="G18" s="65"/>
      <c r="H18" s="65"/>
      <c r="I18" s="65"/>
      <c r="J18" s="66" t="s">
        <v>39</v>
      </c>
      <c r="K18" s="66"/>
      <c r="L18" s="66"/>
      <c r="M18" s="66"/>
      <c r="N18" s="64" t="s">
        <v>32</v>
      </c>
      <c r="O18" s="64"/>
      <c r="P18" s="64"/>
      <c r="Q18" s="64"/>
      <c r="R18" s="68" t="s">
        <v>35</v>
      </c>
      <c r="S18" s="69"/>
      <c r="T18" s="69"/>
      <c r="U18" s="70"/>
      <c r="V18" s="71" t="s">
        <v>36</v>
      </c>
      <c r="W18" s="72"/>
      <c r="X18" s="72"/>
      <c r="Y18" s="73"/>
      <c r="Z18" s="60" t="s">
        <v>37</v>
      </c>
      <c r="AA18" s="61"/>
      <c r="AB18" s="61"/>
      <c r="AC18" s="62"/>
    </row>
    <row r="19" spans="1:49" ht="34.5" customHeight="1" x14ac:dyDescent="0.25">
      <c r="A19" s="65"/>
      <c r="B19" s="17">
        <v>46112</v>
      </c>
      <c r="C19" s="18" t="s">
        <v>4</v>
      </c>
      <c r="D19" s="67" t="s">
        <v>25</v>
      </c>
      <c r="E19" s="67"/>
      <c r="F19" s="21">
        <v>46112</v>
      </c>
      <c r="G19" s="22" t="s">
        <v>4</v>
      </c>
      <c r="H19" s="65" t="s">
        <v>25</v>
      </c>
      <c r="I19" s="65"/>
      <c r="J19" s="28">
        <v>46112</v>
      </c>
      <c r="K19" s="34" t="s">
        <v>4</v>
      </c>
      <c r="L19" s="66" t="s">
        <v>25</v>
      </c>
      <c r="M19" s="66"/>
      <c r="N19" s="23">
        <v>46112</v>
      </c>
      <c r="O19" s="32" t="s">
        <v>4</v>
      </c>
      <c r="P19" s="64" t="s">
        <v>25</v>
      </c>
      <c r="Q19" s="64"/>
      <c r="R19" s="17">
        <v>46112</v>
      </c>
      <c r="S19" s="35" t="s">
        <v>4</v>
      </c>
      <c r="T19" s="67" t="s">
        <v>25</v>
      </c>
      <c r="U19" s="67"/>
      <c r="V19" s="21">
        <v>46112</v>
      </c>
      <c r="W19" s="33" t="s">
        <v>4</v>
      </c>
      <c r="X19" s="71" t="s">
        <v>25</v>
      </c>
      <c r="Y19" s="73"/>
      <c r="Z19" s="28">
        <v>46112</v>
      </c>
      <c r="AA19" s="34" t="s">
        <v>4</v>
      </c>
      <c r="AB19" s="60" t="s">
        <v>25</v>
      </c>
      <c r="AC19" s="62"/>
    </row>
    <row r="20" spans="1:49" ht="50.25" customHeight="1" x14ac:dyDescent="0.25">
      <c r="A20" s="9" t="s">
        <v>22</v>
      </c>
      <c r="B20" s="19">
        <v>59112</v>
      </c>
      <c r="C20" s="19">
        <v>980</v>
      </c>
      <c r="D20" s="19">
        <v>3579</v>
      </c>
      <c r="E20" s="20">
        <f>D20/(B20-D20)</f>
        <v>6.444816595537789E-2</v>
      </c>
      <c r="F20" s="13">
        <v>58695</v>
      </c>
      <c r="G20" s="13">
        <v>959</v>
      </c>
      <c r="H20" s="13">
        <v>3553</v>
      </c>
      <c r="I20" s="14">
        <f>H20/(F20-H20)</f>
        <v>6.4433644046280505E-2</v>
      </c>
      <c r="J20" s="30">
        <f>F20-R20</f>
        <v>56537</v>
      </c>
      <c r="K20" s="30">
        <f t="shared" ref="K20:L20" si="31">G20-S20</f>
        <v>775</v>
      </c>
      <c r="L20" s="30">
        <f t="shared" si="31"/>
        <v>2925</v>
      </c>
      <c r="M20" s="31">
        <f>L20/(J20-L20)</f>
        <v>5.4558680892337535E-2</v>
      </c>
      <c r="N20" s="25">
        <f>B20-F20</f>
        <v>417</v>
      </c>
      <c r="O20" s="25">
        <f t="shared" ref="O20:P20" si="32">C20-G20</f>
        <v>21</v>
      </c>
      <c r="P20" s="25">
        <f t="shared" si="32"/>
        <v>26</v>
      </c>
      <c r="Q20" s="26">
        <f>P20/(N20-P20)</f>
        <v>6.6496163682864456E-2</v>
      </c>
      <c r="R20" s="19">
        <f>SUM(V20,Z20)</f>
        <v>2158</v>
      </c>
      <c r="S20" s="19">
        <f t="shared" ref="S20:T20" si="33">SUM(W20,AA20)</f>
        <v>184</v>
      </c>
      <c r="T20" s="19">
        <f t="shared" si="33"/>
        <v>628</v>
      </c>
      <c r="U20" s="20">
        <f>T20/(R20-T20)</f>
        <v>0.41045751633986927</v>
      </c>
      <c r="V20" s="13">
        <v>1924</v>
      </c>
      <c r="W20" s="13">
        <v>165</v>
      </c>
      <c r="X20" s="13">
        <v>643</v>
      </c>
      <c r="Y20" s="14">
        <f>X20/(V20-X20)</f>
        <v>0.50195160031225605</v>
      </c>
      <c r="Z20" s="30">
        <v>234</v>
      </c>
      <c r="AA20" s="30">
        <v>19</v>
      </c>
      <c r="AB20" s="30">
        <v>-15</v>
      </c>
      <c r="AC20" s="31">
        <f>AB20/(Z20-AB20)</f>
        <v>-6.0240963855421686E-2</v>
      </c>
    </row>
    <row r="21" spans="1:49" ht="50.15" customHeight="1" x14ac:dyDescent="0.25">
      <c r="A21" s="9" t="s">
        <v>5</v>
      </c>
      <c r="B21" s="19">
        <v>32432.175822315399</v>
      </c>
      <c r="C21" s="19">
        <v>588.03805589628598</v>
      </c>
      <c r="D21" s="19">
        <v>2304.9844960740302</v>
      </c>
      <c r="E21" s="20">
        <f>D21/(B21-D21)</f>
        <v>7.6508442858606071E-2</v>
      </c>
      <c r="F21" s="13">
        <v>31555.031835038801</v>
      </c>
      <c r="G21" s="13">
        <v>537.745466487003</v>
      </c>
      <c r="H21" s="13">
        <v>2261.9006973844998</v>
      </c>
      <c r="I21" s="14">
        <f>H21/(F21-H21)</f>
        <v>7.7216077952041884E-2</v>
      </c>
      <c r="J21" s="30">
        <f t="shared" ref="J21:J30" si="34">F21-R21</f>
        <v>30141.872864392601</v>
      </c>
      <c r="K21" s="30">
        <f t="shared" ref="K21:K30" si="35">G21-S21</f>
        <v>519.29524375250298</v>
      </c>
      <c r="L21" s="30">
        <f t="shared" ref="L21:L30" si="36">H21-T21</f>
        <v>2059.2677620415998</v>
      </c>
      <c r="M21" s="31">
        <f>L21/(J21-L21)</f>
        <v>7.3328943470034533E-2</v>
      </c>
      <c r="N21" s="25">
        <f t="shared" ref="N21:N30" si="37">B21-F21</f>
        <v>877.14398727659864</v>
      </c>
      <c r="O21" s="25">
        <f t="shared" ref="O21:O30" si="38">C21-G21</f>
        <v>50.292589409282982</v>
      </c>
      <c r="P21" s="25">
        <f t="shared" ref="P21:P30" si="39">D21-H21</f>
        <v>43.08379868953034</v>
      </c>
      <c r="Q21" s="26">
        <f>P21/(N21-P21)</f>
        <v>5.1655503138827476E-2</v>
      </c>
      <c r="R21" s="19">
        <f t="shared" ref="R21:R30" si="40">SUM(V21,Z21)</f>
        <v>1413.1589706461998</v>
      </c>
      <c r="S21" s="19">
        <f t="shared" ref="S21:S30" si="41">SUM(W21,AA21)</f>
        <v>18.450222734499995</v>
      </c>
      <c r="T21" s="19">
        <f t="shared" ref="T21:T30" si="42">SUM(X21,AB21)</f>
        <v>202.6329353429</v>
      </c>
      <c r="U21" s="20">
        <f>T21/(R21-T21)</f>
        <v>0.16739246363431573</v>
      </c>
      <c r="V21" s="13">
        <v>1282.8937128232999</v>
      </c>
      <c r="W21" s="13">
        <v>37.639191366299997</v>
      </c>
      <c r="X21" s="13">
        <v>210.84034596149999</v>
      </c>
      <c r="Y21" s="14">
        <f>X21/(V21-X21)</f>
        <v>0.19666963649271366</v>
      </c>
      <c r="Z21" s="30">
        <v>130.2652578229</v>
      </c>
      <c r="AA21" s="30">
        <v>-19.188968631800002</v>
      </c>
      <c r="AB21" s="30">
        <v>-8.2074106185999902</v>
      </c>
      <c r="AC21" s="31">
        <f>AB21/(Z21-AB21)</f>
        <v>-5.9270978966274077E-2</v>
      </c>
    </row>
    <row r="22" spans="1:49" ht="50.15" customHeight="1" x14ac:dyDescent="0.25">
      <c r="A22" s="12" t="s">
        <v>6</v>
      </c>
      <c r="B22" s="19">
        <v>35364.82</v>
      </c>
      <c r="C22" s="19">
        <v>1075.97</v>
      </c>
      <c r="D22" s="19">
        <v>1859.69</v>
      </c>
      <c r="E22" s="20">
        <f t="shared" ref="E22:E30" si="43">D22/(B22-D22)</f>
        <v>5.5504634663408263E-2</v>
      </c>
      <c r="F22" s="13">
        <v>34758.06</v>
      </c>
      <c r="G22" s="13">
        <v>1071.75999999999</v>
      </c>
      <c r="H22" s="13">
        <v>1880.49</v>
      </c>
      <c r="I22" s="14">
        <f t="shared" ref="I22:I30" si="44">H22/(F22-H22)</f>
        <v>5.7196745379904899E-2</v>
      </c>
      <c r="J22" s="30">
        <f t="shared" si="34"/>
        <v>33058.03</v>
      </c>
      <c r="K22" s="30">
        <f t="shared" si="35"/>
        <v>906.22999999999001</v>
      </c>
      <c r="L22" s="30">
        <f t="shared" si="36"/>
        <v>1602.79</v>
      </c>
      <c r="M22" s="31">
        <f t="shared" ref="M22:M30" si="45">L22/(J22-L22)</f>
        <v>5.0954626319811902E-2</v>
      </c>
      <c r="N22" s="25">
        <f t="shared" si="37"/>
        <v>606.76000000000204</v>
      </c>
      <c r="O22" s="25">
        <f t="shared" si="38"/>
        <v>4.2100000000100408</v>
      </c>
      <c r="P22" s="25">
        <f t="shared" si="39"/>
        <v>-20.799999999999955</v>
      </c>
      <c r="Q22" s="26">
        <f t="shared" ref="Q22:Q30" si="46">P22/(N22-P22)</f>
        <v>-3.3144241188093393E-2</v>
      </c>
      <c r="R22" s="19">
        <f t="shared" si="40"/>
        <v>1700.0300000000002</v>
      </c>
      <c r="S22" s="19">
        <f t="shared" si="41"/>
        <v>165.53</v>
      </c>
      <c r="T22" s="19">
        <f t="shared" si="42"/>
        <v>277.7</v>
      </c>
      <c r="U22" s="20">
        <f t="shared" ref="U22:U30" si="47">T22/(R22-T22)</f>
        <v>0.19524301674013764</v>
      </c>
      <c r="V22" s="13">
        <v>1451.92</v>
      </c>
      <c r="W22" s="13">
        <v>114.75</v>
      </c>
      <c r="X22" s="13">
        <v>161.47999999999999</v>
      </c>
      <c r="Y22" s="14">
        <f t="shared" ref="Y22:Y30" si="48">X22/(V22-X22)</f>
        <v>0.125135612659248</v>
      </c>
      <c r="Z22" s="30">
        <v>248.11</v>
      </c>
      <c r="AA22" s="30">
        <v>50.78</v>
      </c>
      <c r="AB22" s="30">
        <v>116.22</v>
      </c>
      <c r="AC22" s="31">
        <f t="shared" ref="AC22:AC30" si="49">AB22/(Z22-AB22)</f>
        <v>0.88118886951247244</v>
      </c>
    </row>
    <row r="23" spans="1:49" ht="50.15" customHeight="1" x14ac:dyDescent="0.25">
      <c r="A23" s="9" t="s">
        <v>8</v>
      </c>
      <c r="B23" s="19">
        <v>26654.756500990599</v>
      </c>
      <c r="C23" s="19">
        <v>393.51081624909801</v>
      </c>
      <c r="D23" s="19">
        <v>1413.109848541</v>
      </c>
      <c r="E23" s="20">
        <f t="shared" si="43"/>
        <v>5.5983267177375826E-2</v>
      </c>
      <c r="F23" s="13">
        <v>25967.0406407667</v>
      </c>
      <c r="G23" s="13">
        <v>387.97373693380001</v>
      </c>
      <c r="H23" s="13">
        <v>1407.8805062087999</v>
      </c>
      <c r="I23" s="14">
        <f t="shared" si="44"/>
        <v>5.7326085195712001E-2</v>
      </c>
      <c r="J23" s="30">
        <v>0</v>
      </c>
      <c r="K23" s="30">
        <v>0</v>
      </c>
      <c r="L23" s="30">
        <v>0</v>
      </c>
      <c r="M23" s="30">
        <v>0</v>
      </c>
      <c r="N23" s="25">
        <f t="shared" si="37"/>
        <v>687.71586022389965</v>
      </c>
      <c r="O23" s="25">
        <f t="shared" si="38"/>
        <v>5.5370793152980013</v>
      </c>
      <c r="P23" s="25">
        <f t="shared" si="39"/>
        <v>5.2293423322000763</v>
      </c>
      <c r="Q23" s="26">
        <f t="shared" si="46"/>
        <v>7.6621914061456887E-3</v>
      </c>
      <c r="R23" s="19">
        <f t="shared" si="40"/>
        <v>487.2</v>
      </c>
      <c r="S23" s="19">
        <f t="shared" si="41"/>
        <v>83</v>
      </c>
      <c r="T23" s="19">
        <f t="shared" si="42"/>
        <v>146</v>
      </c>
      <c r="U23" s="20">
        <f t="shared" si="47"/>
        <v>0.42790152403282533</v>
      </c>
      <c r="V23" s="13">
        <v>487.2</v>
      </c>
      <c r="W23" s="13">
        <v>83</v>
      </c>
      <c r="X23" s="13">
        <v>146</v>
      </c>
      <c r="Y23" s="14">
        <f t="shared" si="48"/>
        <v>0.42790152403282533</v>
      </c>
      <c r="Z23" s="30">
        <v>0</v>
      </c>
      <c r="AA23" s="30">
        <v>0</v>
      </c>
      <c r="AB23" s="30">
        <v>0</v>
      </c>
      <c r="AC23" s="31" t="s">
        <v>21</v>
      </c>
      <c r="AG23" s="2" t="s">
        <v>40</v>
      </c>
    </row>
    <row r="24" spans="1:49" ht="50.15" customHeight="1" x14ac:dyDescent="0.25">
      <c r="A24" s="12" t="s">
        <v>7</v>
      </c>
      <c r="B24" s="19">
        <v>30337.831927399999</v>
      </c>
      <c r="C24" s="19">
        <v>705.6262898</v>
      </c>
      <c r="D24" s="19">
        <v>2071.3133366000002</v>
      </c>
      <c r="E24" s="20">
        <f t="shared" si="43"/>
        <v>7.3277978324297693E-2</v>
      </c>
      <c r="F24" s="13">
        <v>29815.821988</v>
      </c>
      <c r="G24" s="13">
        <v>673.32921650000003</v>
      </c>
      <c r="H24" s="13">
        <v>2001.091422</v>
      </c>
      <c r="I24" s="14">
        <f t="shared" si="44"/>
        <v>7.1943584614336767E-2</v>
      </c>
      <c r="J24" s="30">
        <f t="shared" si="34"/>
        <v>26736.741988000002</v>
      </c>
      <c r="K24" s="30">
        <f t="shared" si="35"/>
        <v>862.87921649999998</v>
      </c>
      <c r="L24" s="30">
        <f t="shared" si="36"/>
        <v>1957.9714220000001</v>
      </c>
      <c r="M24" s="31">
        <f t="shared" si="45"/>
        <v>7.9018102079956104E-2</v>
      </c>
      <c r="N24" s="25">
        <f t="shared" si="37"/>
        <v>522.00993939999898</v>
      </c>
      <c r="O24" s="25">
        <f t="shared" si="38"/>
        <v>32.297073299999965</v>
      </c>
      <c r="P24" s="25">
        <f t="shared" si="39"/>
        <v>70.221914600000218</v>
      </c>
      <c r="Q24" s="26">
        <f t="shared" si="46"/>
        <v>0.15543111093103151</v>
      </c>
      <c r="R24" s="19">
        <f t="shared" si="40"/>
        <v>3079.08</v>
      </c>
      <c r="S24" s="19">
        <f t="shared" si="41"/>
        <v>-189.54999999999998</v>
      </c>
      <c r="T24" s="19">
        <f t="shared" si="42"/>
        <v>43.12</v>
      </c>
      <c r="U24" s="20">
        <f t="shared" si="47"/>
        <v>1.4203085679653222E-2</v>
      </c>
      <c r="V24" s="13">
        <v>3063.45</v>
      </c>
      <c r="W24" s="13">
        <v>-201.89</v>
      </c>
      <c r="X24" s="13">
        <v>27.49</v>
      </c>
      <c r="Y24" s="14">
        <f t="shared" si="48"/>
        <v>9.0547965058828169E-3</v>
      </c>
      <c r="Z24" s="30">
        <v>15.63</v>
      </c>
      <c r="AA24" s="30">
        <v>12.34</v>
      </c>
      <c r="AB24" s="30">
        <v>15.63</v>
      </c>
      <c r="AC24" s="31" t="s">
        <v>21</v>
      </c>
    </row>
    <row r="25" spans="1:49" ht="50.15" customHeight="1" x14ac:dyDescent="0.25">
      <c r="A25" s="12" t="s">
        <v>9</v>
      </c>
      <c r="B25" s="19">
        <v>38512.980000000003</v>
      </c>
      <c r="C25" s="19">
        <v>859.880000000005</v>
      </c>
      <c r="D25" s="19">
        <v>2314.29</v>
      </c>
      <c r="E25" s="20">
        <f t="shared" si="43"/>
        <v>6.3932976580091699E-2</v>
      </c>
      <c r="F25" s="13">
        <v>37468.35</v>
      </c>
      <c r="G25" s="13">
        <v>767.37999999999704</v>
      </c>
      <c r="H25" s="13">
        <v>2197.7199999999998</v>
      </c>
      <c r="I25" s="14">
        <f t="shared" si="44"/>
        <v>6.2310199732752147E-2</v>
      </c>
      <c r="J25" s="30">
        <v>0</v>
      </c>
      <c r="K25" s="30">
        <v>0</v>
      </c>
      <c r="L25" s="30">
        <v>0</v>
      </c>
      <c r="M25" s="30">
        <v>0</v>
      </c>
      <c r="N25" s="25">
        <f t="shared" si="37"/>
        <v>1044.6300000000047</v>
      </c>
      <c r="O25" s="25">
        <f t="shared" si="38"/>
        <v>92.500000000007958</v>
      </c>
      <c r="P25" s="25">
        <f t="shared" si="39"/>
        <v>116.57000000000016</v>
      </c>
      <c r="Q25" s="26">
        <f t="shared" si="46"/>
        <v>0.12560610305368144</v>
      </c>
      <c r="R25" s="19">
        <f t="shared" si="40"/>
        <v>371.06</v>
      </c>
      <c r="S25" s="19">
        <f t="shared" si="41"/>
        <v>11.96</v>
      </c>
      <c r="T25" s="19">
        <f t="shared" si="42"/>
        <v>18.059999999999999</v>
      </c>
      <c r="U25" s="20" t="s">
        <v>21</v>
      </c>
      <c r="V25" s="13">
        <v>371.06</v>
      </c>
      <c r="W25" s="13">
        <v>11.96</v>
      </c>
      <c r="X25" s="13">
        <v>18.059999999999999</v>
      </c>
      <c r="Y25" s="14">
        <f t="shared" si="48"/>
        <v>5.1161473087818696E-2</v>
      </c>
      <c r="Z25" s="30">
        <v>0</v>
      </c>
      <c r="AA25" s="30">
        <v>0</v>
      </c>
      <c r="AB25" s="30">
        <v>0</v>
      </c>
      <c r="AC25" s="31" t="s">
        <v>21</v>
      </c>
      <c r="AG25" s="2" t="s">
        <v>41</v>
      </c>
    </row>
    <row r="26" spans="1:49" s="2" customFormat="1" ht="50.15" customHeight="1" x14ac:dyDescent="0.25">
      <c r="A26" s="9" t="s">
        <v>15</v>
      </c>
      <c r="B26" s="19">
        <v>24215.468010514702</v>
      </c>
      <c r="C26" s="19">
        <v>389.50767255969998</v>
      </c>
      <c r="D26" s="19">
        <v>1057.3561560073999</v>
      </c>
      <c r="E26" s="20">
        <f t="shared" si="43"/>
        <v>4.5658133212686983E-2</v>
      </c>
      <c r="F26" s="13">
        <v>23811.518743410401</v>
      </c>
      <c r="G26" s="13">
        <v>372.08591110139997</v>
      </c>
      <c r="H26" s="13">
        <v>1029.7276804999001</v>
      </c>
      <c r="I26" s="14">
        <f t="shared" si="44"/>
        <v>4.519959285274678E-2</v>
      </c>
      <c r="J26" s="30">
        <f t="shared" si="34"/>
        <v>22095.245234186401</v>
      </c>
      <c r="K26" s="30">
        <f t="shared" si="35"/>
        <v>267.98053209739999</v>
      </c>
      <c r="L26" s="30">
        <f t="shared" si="36"/>
        <v>879.56483056430011</v>
      </c>
      <c r="M26" s="31">
        <f t="shared" si="45"/>
        <v>4.1458242857680593E-2</v>
      </c>
      <c r="N26" s="25">
        <f t="shared" si="37"/>
        <v>403.94926710430082</v>
      </c>
      <c r="O26" s="25">
        <f t="shared" si="38"/>
        <v>17.421761458300011</v>
      </c>
      <c r="P26" s="25">
        <f t="shared" si="39"/>
        <v>27.628475507499843</v>
      </c>
      <c r="Q26" s="26">
        <f t="shared" si="46"/>
        <v>7.341735063392843E-2</v>
      </c>
      <c r="R26" s="19">
        <f t="shared" si="40"/>
        <v>1716.273509224</v>
      </c>
      <c r="S26" s="19">
        <f t="shared" si="41"/>
        <v>104.10537900400001</v>
      </c>
      <c r="T26" s="19">
        <f t="shared" si="42"/>
        <v>150.16284993560001</v>
      </c>
      <c r="U26" s="20">
        <f t="shared" si="47"/>
        <v>9.5882656212703449E-2</v>
      </c>
      <c r="V26" s="13">
        <v>1309.5034978273</v>
      </c>
      <c r="W26" s="13">
        <v>66.202224028000003</v>
      </c>
      <c r="X26" s="13">
        <v>35.749617600500002</v>
      </c>
      <c r="Y26" s="14">
        <f t="shared" si="48"/>
        <v>2.8066346376220307E-2</v>
      </c>
      <c r="Z26" s="30">
        <v>406.7700113967</v>
      </c>
      <c r="AA26" s="30">
        <v>37.903154976000003</v>
      </c>
      <c r="AB26" s="30">
        <v>114.41323233510001</v>
      </c>
      <c r="AC26" s="31">
        <f t="shared" si="49"/>
        <v>0.39134797114108644</v>
      </c>
    </row>
    <row r="27" spans="1:49" s="2" customFormat="1" ht="50.15" customHeight="1" x14ac:dyDescent="0.25">
      <c r="A27" s="16" t="s">
        <v>11</v>
      </c>
      <c r="B27" s="19">
        <v>15940.247892405399</v>
      </c>
      <c r="C27" s="19">
        <v>337.17183073109999</v>
      </c>
      <c r="D27" s="19">
        <v>671.56951635570101</v>
      </c>
      <c r="E27" s="20">
        <f t="shared" si="43"/>
        <v>4.3983473868250342E-2</v>
      </c>
      <c r="F27" s="13">
        <v>14195.919784834699</v>
      </c>
      <c r="G27" s="13">
        <v>277.8405824788</v>
      </c>
      <c r="H27" s="13">
        <v>441.42539469140098</v>
      </c>
      <c r="I27" s="14">
        <f>H27/(F27-H27)</f>
        <v>3.2093174941256575E-2</v>
      </c>
      <c r="J27" s="30">
        <f>F27-R27</f>
        <v>12463.824588117399</v>
      </c>
      <c r="K27" s="30">
        <f t="shared" ref="K27" si="50">G27-S27</f>
        <v>347.3510594915</v>
      </c>
      <c r="L27" s="30">
        <f t="shared" ref="L27" si="51">H27-T27</f>
        <v>863.43188572860095</v>
      </c>
      <c r="M27" s="31">
        <f t="shared" ref="M27" si="52">L27/(J27-L27)</f>
        <v>7.4431263482209506E-2</v>
      </c>
      <c r="N27" s="25">
        <f>B27-F27</f>
        <v>1744.3281075707</v>
      </c>
      <c r="O27" s="25">
        <f t="shared" si="38"/>
        <v>59.331248252299986</v>
      </c>
      <c r="P27" s="25">
        <f t="shared" si="39"/>
        <v>230.14412166430003</v>
      </c>
      <c r="Q27" s="26">
        <f t="shared" si="46"/>
        <v>0.151992177837315</v>
      </c>
      <c r="R27" s="19">
        <f t="shared" si="40"/>
        <v>1732.0951967173</v>
      </c>
      <c r="S27" s="19">
        <f t="shared" si="41"/>
        <v>-69.510477012699965</v>
      </c>
      <c r="T27" s="19">
        <f t="shared" si="42"/>
        <v>-422.00649103720002</v>
      </c>
      <c r="U27" s="20">
        <f t="shared" si="47"/>
        <v>-0.19590834241307903</v>
      </c>
      <c r="V27" s="13">
        <v>798.22782221980003</v>
      </c>
      <c r="W27" s="13">
        <v>210.92699270220001</v>
      </c>
      <c r="X27" s="13">
        <v>425.37804913590003</v>
      </c>
      <c r="Y27" s="14">
        <f t="shared" si="48"/>
        <v>1.1408832185079001</v>
      </c>
      <c r="Z27" s="30">
        <v>933.86737449750001</v>
      </c>
      <c r="AA27" s="30">
        <v>-280.43746971489998</v>
      </c>
      <c r="AB27" s="30">
        <v>-847.38454017310005</v>
      </c>
      <c r="AC27" s="31">
        <f t="shared" si="49"/>
        <v>-0.47572414277505692</v>
      </c>
    </row>
    <row r="28" spans="1:49" s="2" customFormat="1" ht="50.15" customHeight="1" x14ac:dyDescent="0.25">
      <c r="A28" s="16" t="s">
        <v>14</v>
      </c>
      <c r="B28" s="19">
        <v>18116.423299999999</v>
      </c>
      <c r="C28" s="19">
        <v>453.3021</v>
      </c>
      <c r="D28" s="19">
        <v>2316.7763</v>
      </c>
      <c r="E28" s="20">
        <f t="shared" si="43"/>
        <v>0.14663468747118211</v>
      </c>
      <c r="F28" s="13">
        <v>18066.028699999999</v>
      </c>
      <c r="G28" s="13">
        <v>453.26350000000002</v>
      </c>
      <c r="H28" s="13">
        <v>2308.4920999999999</v>
      </c>
      <c r="I28" s="14">
        <f t="shared" si="44"/>
        <v>0.14650082424685595</v>
      </c>
      <c r="J28" s="30">
        <v>0</v>
      </c>
      <c r="K28" s="30">
        <v>0</v>
      </c>
      <c r="L28" s="30">
        <v>0</v>
      </c>
      <c r="M28" s="30">
        <v>0</v>
      </c>
      <c r="N28" s="25">
        <f t="shared" si="37"/>
        <v>50.394599999999627</v>
      </c>
      <c r="O28" s="25">
        <f t="shared" si="38"/>
        <v>3.8599999999973988E-2</v>
      </c>
      <c r="P28" s="25">
        <f t="shared" si="39"/>
        <v>8.2842000000000553</v>
      </c>
      <c r="Q28" s="26">
        <f t="shared" si="46"/>
        <v>0.19672574945856935</v>
      </c>
      <c r="R28" s="19">
        <f t="shared" si="40"/>
        <v>0</v>
      </c>
      <c r="S28" s="19">
        <f t="shared" si="41"/>
        <v>0</v>
      </c>
      <c r="T28" s="19">
        <f t="shared" si="42"/>
        <v>0</v>
      </c>
      <c r="U28" s="20" t="s">
        <v>21</v>
      </c>
      <c r="V28" s="13" t="s">
        <v>21</v>
      </c>
      <c r="W28" s="13" t="s">
        <v>21</v>
      </c>
      <c r="X28" s="13" t="s">
        <v>21</v>
      </c>
      <c r="Y28" s="14" t="s">
        <v>21</v>
      </c>
      <c r="Z28" s="30" t="s">
        <v>21</v>
      </c>
      <c r="AA28" s="30" t="s">
        <v>21</v>
      </c>
      <c r="AB28" s="30" t="s">
        <v>21</v>
      </c>
      <c r="AC28" s="31" t="s">
        <v>21</v>
      </c>
      <c r="AG28" s="2" t="s">
        <v>38</v>
      </c>
    </row>
    <row r="29" spans="1:49" ht="50.15" customHeight="1" x14ac:dyDescent="0.25">
      <c r="A29" s="16" t="s">
        <v>19</v>
      </c>
      <c r="B29" s="19">
        <v>13934</v>
      </c>
      <c r="C29" s="19">
        <v>600</v>
      </c>
      <c r="D29" s="19">
        <v>1211</v>
      </c>
      <c r="E29" s="20">
        <f t="shared" si="43"/>
        <v>9.5181953941680428E-2</v>
      </c>
      <c r="F29" s="13">
        <v>13796</v>
      </c>
      <c r="G29" s="13">
        <v>596</v>
      </c>
      <c r="H29" s="13">
        <v>1201</v>
      </c>
      <c r="I29" s="14">
        <f t="shared" si="44"/>
        <v>9.5355299722111944E-2</v>
      </c>
      <c r="J29" s="30">
        <f t="shared" si="34"/>
        <v>13044</v>
      </c>
      <c r="K29" s="30">
        <f t="shared" si="35"/>
        <v>457</v>
      </c>
      <c r="L29" s="30">
        <f t="shared" si="36"/>
        <v>1022</v>
      </c>
      <c r="M29" s="31">
        <f t="shared" si="45"/>
        <v>8.5010813508567623E-2</v>
      </c>
      <c r="N29" s="25">
        <f t="shared" si="37"/>
        <v>138</v>
      </c>
      <c r="O29" s="25">
        <f t="shared" si="38"/>
        <v>4</v>
      </c>
      <c r="P29" s="25">
        <f t="shared" si="39"/>
        <v>10</v>
      </c>
      <c r="Q29" s="26">
        <f t="shared" si="46"/>
        <v>7.8125E-2</v>
      </c>
      <c r="R29" s="19">
        <f t="shared" si="40"/>
        <v>752</v>
      </c>
      <c r="S29" s="19">
        <f t="shared" si="41"/>
        <v>139</v>
      </c>
      <c r="T29" s="19">
        <f t="shared" si="42"/>
        <v>179</v>
      </c>
      <c r="U29" s="20">
        <f t="shared" si="47"/>
        <v>0.31239092495637</v>
      </c>
      <c r="V29" s="13">
        <v>234</v>
      </c>
      <c r="W29" s="13">
        <v>11</v>
      </c>
      <c r="X29" s="13">
        <v>-2</v>
      </c>
      <c r="Y29" s="14">
        <f t="shared" si="48"/>
        <v>-8.4745762711864406E-3</v>
      </c>
      <c r="Z29" s="30">
        <v>518</v>
      </c>
      <c r="AA29" s="30">
        <v>128</v>
      </c>
      <c r="AB29" s="30">
        <v>181</v>
      </c>
      <c r="AC29" s="31">
        <f t="shared" si="49"/>
        <v>0.5370919881305638</v>
      </c>
    </row>
    <row r="30" spans="1:49" ht="50.15" customHeight="1" x14ac:dyDescent="0.25">
      <c r="A30" s="16" t="s">
        <v>23</v>
      </c>
      <c r="B30" s="19">
        <v>11956</v>
      </c>
      <c r="C30" s="19">
        <v>9</v>
      </c>
      <c r="D30" s="19">
        <v>959</v>
      </c>
      <c r="E30" s="20">
        <f t="shared" si="43"/>
        <v>8.7205601527689372E-2</v>
      </c>
      <c r="F30" s="13">
        <v>11828</v>
      </c>
      <c r="G30" s="13">
        <v>14</v>
      </c>
      <c r="H30" s="13">
        <v>963</v>
      </c>
      <c r="I30" s="14">
        <f t="shared" si="44"/>
        <v>8.8633225954901057E-2</v>
      </c>
      <c r="J30" s="30">
        <f t="shared" si="34"/>
        <v>10388.84</v>
      </c>
      <c r="K30" s="30">
        <f t="shared" si="35"/>
        <v>-22.532416607400002</v>
      </c>
      <c r="L30" s="30">
        <f t="shared" si="36"/>
        <v>898.49222203290003</v>
      </c>
      <c r="M30" s="31">
        <f t="shared" si="45"/>
        <v>9.4674319956835506E-2</v>
      </c>
      <c r="N30" s="25">
        <f t="shared" si="37"/>
        <v>128</v>
      </c>
      <c r="O30" s="25">
        <f t="shared" si="38"/>
        <v>-5</v>
      </c>
      <c r="P30" s="25">
        <f t="shared" si="39"/>
        <v>-4</v>
      </c>
      <c r="Q30" s="26">
        <f t="shared" si="46"/>
        <v>-3.0303030303030304E-2</v>
      </c>
      <c r="R30" s="19">
        <f t="shared" si="40"/>
        <v>1439.16</v>
      </c>
      <c r="S30" s="19">
        <f t="shared" si="41"/>
        <v>36.532416607400002</v>
      </c>
      <c r="T30" s="19">
        <f t="shared" si="42"/>
        <v>64.507777967099997</v>
      </c>
      <c r="U30" s="20">
        <f t="shared" si="47"/>
        <v>4.6926616734887953E-2</v>
      </c>
      <c r="V30" s="13">
        <v>1174.94</v>
      </c>
      <c r="W30" s="13">
        <v>11.252321976399999</v>
      </c>
      <c r="X30" s="13">
        <v>-10.903418805499999</v>
      </c>
      <c r="Y30" s="14">
        <f t="shared" si="48"/>
        <v>-9.1946530482776654E-3</v>
      </c>
      <c r="Z30" s="30">
        <v>264.22000000000003</v>
      </c>
      <c r="AA30" s="30">
        <v>25.280094631000001</v>
      </c>
      <c r="AB30" s="30">
        <v>75.411196772599993</v>
      </c>
      <c r="AC30" s="31">
        <f t="shared" si="49"/>
        <v>0.39940508855286405</v>
      </c>
    </row>
    <row r="31" spans="1:49" x14ac:dyDescent="0.25">
      <c r="A31" s="8"/>
      <c r="C31" s="8"/>
      <c r="D31" s="8"/>
    </row>
  </sheetData>
  <mergeCells count="41">
    <mergeCell ref="N18:Q18"/>
    <mergeCell ref="R18:U18"/>
    <mergeCell ref="V18:Y18"/>
    <mergeCell ref="T19:U19"/>
    <mergeCell ref="X19:Y19"/>
    <mergeCell ref="P19:Q19"/>
    <mergeCell ref="AP3:AS3"/>
    <mergeCell ref="AR4:AS4"/>
    <mergeCell ref="AT3:AW3"/>
    <mergeCell ref="AV4:AW4"/>
    <mergeCell ref="P4:Q4"/>
    <mergeCell ref="T4:U4"/>
    <mergeCell ref="X4:Y4"/>
    <mergeCell ref="AJ4:AK4"/>
    <mergeCell ref="AN4:AO4"/>
    <mergeCell ref="AF4:AG4"/>
    <mergeCell ref="AB4:AC4"/>
    <mergeCell ref="B18:E18"/>
    <mergeCell ref="B3:E3"/>
    <mergeCell ref="D19:E19"/>
    <mergeCell ref="H19:I19"/>
    <mergeCell ref="L19:M19"/>
    <mergeCell ref="D4:E4"/>
    <mergeCell ref="H4:I4"/>
    <mergeCell ref="L4:M4"/>
    <mergeCell ref="Z18:AC18"/>
    <mergeCell ref="AB19:AC19"/>
    <mergeCell ref="A1:AW1"/>
    <mergeCell ref="N3:Q3"/>
    <mergeCell ref="AL3:AO3"/>
    <mergeCell ref="J18:M18"/>
    <mergeCell ref="A18:A19"/>
    <mergeCell ref="A3:A4"/>
    <mergeCell ref="J3:M3"/>
    <mergeCell ref="V3:Y3"/>
    <mergeCell ref="Z3:AC3"/>
    <mergeCell ref="AD3:AG3"/>
    <mergeCell ref="F3:I3"/>
    <mergeCell ref="R3:U3"/>
    <mergeCell ref="F18:I18"/>
    <mergeCell ref="AH3:AK3"/>
  </mergeCells>
  <phoneticPr fontId="5" type="noConversion"/>
  <printOptions horizontalCentered="1" verticalCentered="1"/>
  <pageMargins left="0" right="0" top="0" bottom="0" header="0.31496062992125984" footer="0.31496062992125984"/>
  <pageSetup paperSize="8" scale="64" orientation="landscape" copies="2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30"/>
  <sheetViews>
    <sheetView zoomScale="70" zoomScaleNormal="70" workbookViewId="0">
      <pane xSplit="1" topLeftCell="B1" activePane="topRight" state="frozen"/>
      <selection pane="topRight" activeCell="AO8" sqref="AO8"/>
    </sheetView>
  </sheetViews>
  <sheetFormatPr defaultColWidth="9" defaultRowHeight="17.5" x14ac:dyDescent="0.25"/>
  <cols>
    <col min="1" max="1" width="10.81640625" style="3" customWidth="1"/>
    <col min="2" max="12" width="11.54296875" style="3" customWidth="1"/>
    <col min="13" max="49" width="11.54296875" style="4" customWidth="1"/>
    <col min="50" max="16384" width="9" style="4"/>
  </cols>
  <sheetData>
    <row r="1" spans="1:52" ht="51.75" customHeight="1" x14ac:dyDescent="0.25">
      <c r="A1" s="63" t="s">
        <v>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</row>
    <row r="2" spans="1:52" x14ac:dyDescent="0.2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3">
        <v>16</v>
      </c>
      <c r="Q2" s="3">
        <v>17</v>
      </c>
      <c r="R2" s="3">
        <v>18</v>
      </c>
      <c r="S2" s="3">
        <v>19</v>
      </c>
      <c r="T2" s="3">
        <v>20</v>
      </c>
      <c r="U2" s="3">
        <v>21</v>
      </c>
      <c r="V2" s="3">
        <v>22</v>
      </c>
      <c r="W2" s="3">
        <v>23</v>
      </c>
      <c r="X2" s="3">
        <v>24</v>
      </c>
      <c r="Y2" s="3">
        <v>25</v>
      </c>
      <c r="Z2" s="3">
        <v>26</v>
      </c>
      <c r="AA2" s="3">
        <v>27</v>
      </c>
      <c r="AB2" s="3">
        <v>28</v>
      </c>
      <c r="AC2" s="3">
        <v>29</v>
      </c>
      <c r="AD2" s="3">
        <v>30</v>
      </c>
      <c r="AE2" s="3">
        <v>31</v>
      </c>
      <c r="AF2" s="3">
        <v>32</v>
      </c>
      <c r="AG2" s="3">
        <v>33</v>
      </c>
      <c r="AH2" s="3">
        <v>34</v>
      </c>
      <c r="AI2" s="3">
        <v>35</v>
      </c>
      <c r="AJ2" s="3">
        <v>36</v>
      </c>
      <c r="AK2" s="3">
        <v>37</v>
      </c>
      <c r="AL2" s="3">
        <v>38</v>
      </c>
      <c r="AM2" s="3">
        <v>39</v>
      </c>
      <c r="AN2" s="3">
        <v>40</v>
      </c>
      <c r="AO2" s="3">
        <v>41</v>
      </c>
      <c r="AP2" s="3">
        <v>42</v>
      </c>
      <c r="AQ2" s="3">
        <v>43</v>
      </c>
      <c r="AR2" s="3">
        <v>44</v>
      </c>
      <c r="AS2" s="3">
        <v>45</v>
      </c>
      <c r="AT2" s="3">
        <v>46</v>
      </c>
      <c r="AU2" s="3">
        <v>47</v>
      </c>
      <c r="AV2" s="3">
        <v>48</v>
      </c>
      <c r="AW2" s="3">
        <v>49</v>
      </c>
    </row>
    <row r="3" spans="1:52" s="1" customFormat="1" ht="36.75" customHeight="1" x14ac:dyDescent="0.25">
      <c r="A3" s="65" t="s">
        <v>43</v>
      </c>
      <c r="B3" s="67" t="s">
        <v>27</v>
      </c>
      <c r="C3" s="67"/>
      <c r="D3" s="67"/>
      <c r="E3" s="67"/>
      <c r="F3" s="65" t="s">
        <v>44</v>
      </c>
      <c r="G3" s="65"/>
      <c r="H3" s="65"/>
      <c r="I3" s="65"/>
      <c r="J3" s="66" t="s">
        <v>45</v>
      </c>
      <c r="K3" s="66"/>
      <c r="L3" s="66"/>
      <c r="M3" s="66"/>
      <c r="N3" s="64" t="s">
        <v>46</v>
      </c>
      <c r="O3" s="64"/>
      <c r="P3" s="64"/>
      <c r="Q3" s="64"/>
      <c r="R3" s="67" t="s">
        <v>1</v>
      </c>
      <c r="S3" s="67"/>
      <c r="T3" s="67"/>
      <c r="U3" s="67"/>
      <c r="V3" s="65" t="s">
        <v>47</v>
      </c>
      <c r="W3" s="65"/>
      <c r="X3" s="65"/>
      <c r="Y3" s="65"/>
      <c r="Z3" s="66" t="s">
        <v>2</v>
      </c>
      <c r="AA3" s="66"/>
      <c r="AB3" s="66"/>
      <c r="AC3" s="66"/>
      <c r="AD3" s="65" t="s">
        <v>3</v>
      </c>
      <c r="AE3" s="65"/>
      <c r="AF3" s="65"/>
      <c r="AG3" s="65"/>
      <c r="AH3" s="64" t="s">
        <v>48</v>
      </c>
      <c r="AI3" s="64"/>
      <c r="AJ3" s="64"/>
      <c r="AK3" s="64"/>
      <c r="AL3" s="65" t="s">
        <v>18</v>
      </c>
      <c r="AM3" s="65"/>
      <c r="AN3" s="65"/>
      <c r="AO3" s="65"/>
      <c r="AP3" s="64" t="s">
        <v>49</v>
      </c>
      <c r="AQ3" s="64"/>
      <c r="AR3" s="64"/>
      <c r="AS3" s="64"/>
      <c r="AT3" s="65" t="s">
        <v>50</v>
      </c>
      <c r="AU3" s="65"/>
      <c r="AV3" s="65"/>
      <c r="AW3" s="65"/>
    </row>
    <row r="4" spans="1:52" s="1" customFormat="1" ht="36.75" customHeight="1" x14ac:dyDescent="0.25">
      <c r="A4" s="65"/>
      <c r="B4" s="17">
        <v>46112</v>
      </c>
      <c r="C4" s="58" t="s">
        <v>4</v>
      </c>
      <c r="D4" s="67" t="s">
        <v>25</v>
      </c>
      <c r="E4" s="67"/>
      <c r="F4" s="21">
        <v>46112</v>
      </c>
      <c r="G4" s="56" t="s">
        <v>4</v>
      </c>
      <c r="H4" s="65" t="s">
        <v>25</v>
      </c>
      <c r="I4" s="65"/>
      <c r="J4" s="28">
        <v>46112</v>
      </c>
      <c r="K4" s="57" t="s">
        <v>4</v>
      </c>
      <c r="L4" s="66" t="s">
        <v>25</v>
      </c>
      <c r="M4" s="66"/>
      <c r="N4" s="23">
        <v>46112</v>
      </c>
      <c r="O4" s="55" t="s">
        <v>4</v>
      </c>
      <c r="P4" s="64" t="s">
        <v>25</v>
      </c>
      <c r="Q4" s="64"/>
      <c r="R4" s="17">
        <v>46112</v>
      </c>
      <c r="S4" s="58" t="s">
        <v>4</v>
      </c>
      <c r="T4" s="67" t="s">
        <v>25</v>
      </c>
      <c r="U4" s="67"/>
      <c r="V4" s="21">
        <v>46112</v>
      </c>
      <c r="W4" s="56" t="s">
        <v>4</v>
      </c>
      <c r="X4" s="65" t="s">
        <v>25</v>
      </c>
      <c r="Y4" s="65"/>
      <c r="Z4" s="28">
        <v>46112</v>
      </c>
      <c r="AA4" s="57" t="s">
        <v>4</v>
      </c>
      <c r="AB4" s="66" t="s">
        <v>25</v>
      </c>
      <c r="AC4" s="66"/>
      <c r="AD4" s="21">
        <v>46112</v>
      </c>
      <c r="AE4" s="56" t="s">
        <v>4</v>
      </c>
      <c r="AF4" s="65" t="s">
        <v>25</v>
      </c>
      <c r="AG4" s="65"/>
      <c r="AH4" s="23">
        <v>46112</v>
      </c>
      <c r="AI4" s="55" t="s">
        <v>4</v>
      </c>
      <c r="AJ4" s="64" t="s">
        <v>25</v>
      </c>
      <c r="AK4" s="64"/>
      <c r="AL4" s="21">
        <v>46112</v>
      </c>
      <c r="AM4" s="56" t="s">
        <v>4</v>
      </c>
      <c r="AN4" s="65" t="s">
        <v>25</v>
      </c>
      <c r="AO4" s="65"/>
      <c r="AP4" s="23">
        <v>46112</v>
      </c>
      <c r="AQ4" s="55" t="s">
        <v>4</v>
      </c>
      <c r="AR4" s="64" t="s">
        <v>25</v>
      </c>
      <c r="AS4" s="64"/>
      <c r="AT4" s="21">
        <v>46112</v>
      </c>
      <c r="AU4" s="56" t="s">
        <v>4</v>
      </c>
      <c r="AV4" s="65" t="s">
        <v>25</v>
      </c>
      <c r="AW4" s="65"/>
    </row>
    <row r="5" spans="1:52" s="1" customFormat="1" ht="50.25" customHeight="1" x14ac:dyDescent="0.25">
      <c r="A5" s="9" t="s">
        <v>51</v>
      </c>
      <c r="B5" s="36">
        <v>48282</v>
      </c>
      <c r="C5" s="36">
        <v>115</v>
      </c>
      <c r="D5" s="36">
        <v>1561</v>
      </c>
      <c r="E5" s="37">
        <f>D5/(B5-D5)</f>
        <v>3.3411099933648679E-2</v>
      </c>
      <c r="F5" s="38">
        <v>46662</v>
      </c>
      <c r="G5" s="38">
        <v>121</v>
      </c>
      <c r="H5" s="38">
        <v>1592</v>
      </c>
      <c r="I5" s="39">
        <f>H5/(F5-H5)</f>
        <v>3.5322831151542049E-2</v>
      </c>
      <c r="J5" s="40">
        <f t="shared" ref="J5:L15" si="0">B5-F5</f>
        <v>1620</v>
      </c>
      <c r="K5" s="40">
        <f t="shared" si="0"/>
        <v>-6</v>
      </c>
      <c r="L5" s="40">
        <f t="shared" si="0"/>
        <v>-31</v>
      </c>
      <c r="M5" s="41">
        <f>L5/(J5-L5)</f>
        <v>-1.877649909145972E-2</v>
      </c>
      <c r="N5" s="42">
        <f t="shared" ref="N5:P15" si="1">F5-R5</f>
        <v>42587</v>
      </c>
      <c r="O5" s="42">
        <f t="shared" si="1"/>
        <v>73</v>
      </c>
      <c r="P5" s="42">
        <f t="shared" si="1"/>
        <v>1369</v>
      </c>
      <c r="Q5" s="43">
        <f>P5/(N5-P5)</f>
        <v>3.3213644524236981E-2</v>
      </c>
      <c r="R5" s="36">
        <f>V5+Z5+AD5</f>
        <v>4075</v>
      </c>
      <c r="S5" s="36">
        <f>W5+AA5+AE5</f>
        <v>48</v>
      </c>
      <c r="T5" s="36">
        <f>X5+AB5+AF5</f>
        <v>223</v>
      </c>
      <c r="U5" s="37">
        <f>T5/(R5-T5)</f>
        <v>5.7892004153686394E-2</v>
      </c>
      <c r="V5" s="38">
        <v>2840</v>
      </c>
      <c r="W5" s="38">
        <v>95</v>
      </c>
      <c r="X5" s="38">
        <v>125</v>
      </c>
      <c r="Y5" s="39">
        <f>X5/(V5-X5)</f>
        <v>4.6040515653775323E-2</v>
      </c>
      <c r="Z5" s="40">
        <v>1068</v>
      </c>
      <c r="AA5" s="40">
        <v>0</v>
      </c>
      <c r="AB5" s="40">
        <v>93</v>
      </c>
      <c r="AC5" s="41">
        <f>AB5/(Z5-AB5)</f>
        <v>9.5384615384615387E-2</v>
      </c>
      <c r="AD5" s="38">
        <v>167</v>
      </c>
      <c r="AE5" s="38">
        <v>-47</v>
      </c>
      <c r="AF5" s="38">
        <v>5</v>
      </c>
      <c r="AG5" s="39">
        <f t="shared" ref="AG5:AG13" si="2">AF5/(AD5-AF5)</f>
        <v>3.0864197530864196E-2</v>
      </c>
      <c r="AH5" s="42">
        <v>7207</v>
      </c>
      <c r="AI5" s="42">
        <v>-52</v>
      </c>
      <c r="AJ5" s="42">
        <v>-567</v>
      </c>
      <c r="AK5" s="43">
        <f>AJ5/(AH5-AJ5)</f>
        <v>-7.2935425778235141E-2</v>
      </c>
      <c r="AL5" s="44">
        <v>6856</v>
      </c>
      <c r="AM5" s="44">
        <v>20</v>
      </c>
      <c r="AN5" s="44">
        <v>832</v>
      </c>
      <c r="AO5" s="45">
        <f>AN5/(AL5-AN5)</f>
        <v>0.13811420982735723</v>
      </c>
      <c r="AP5" s="42">
        <v>2948</v>
      </c>
      <c r="AQ5" s="42">
        <v>-8</v>
      </c>
      <c r="AR5" s="42">
        <v>134</v>
      </c>
      <c r="AS5" s="43">
        <f>AR5/(AP5-AR5)</f>
        <v>4.7619047619047616E-2</v>
      </c>
      <c r="AT5" s="38">
        <v>10176</v>
      </c>
      <c r="AU5" s="38">
        <v>11</v>
      </c>
      <c r="AV5" s="38">
        <v>153</v>
      </c>
      <c r="AW5" s="39">
        <f>AV5/(AT5-AV5)</f>
        <v>1.5264890751272074E-2</v>
      </c>
    </row>
    <row r="6" spans="1:52" s="2" customFormat="1" ht="50.15" customHeight="1" x14ac:dyDescent="0.25">
      <c r="A6" s="9" t="s">
        <v>52</v>
      </c>
      <c r="B6" s="36">
        <v>40183</v>
      </c>
      <c r="C6" s="36">
        <v>-290</v>
      </c>
      <c r="D6" s="36">
        <v>446</v>
      </c>
      <c r="E6" s="37">
        <f>D6/(B6-D6)</f>
        <v>1.1223796461735913E-2</v>
      </c>
      <c r="F6" s="38">
        <v>38295</v>
      </c>
      <c r="G6" s="38">
        <v>-305</v>
      </c>
      <c r="H6" s="38">
        <v>298</v>
      </c>
      <c r="I6" s="39">
        <f>H6/(F6-H6)</f>
        <v>7.8427244256125475E-3</v>
      </c>
      <c r="J6" s="40">
        <f t="shared" si="0"/>
        <v>1888</v>
      </c>
      <c r="K6" s="40">
        <f t="shared" si="0"/>
        <v>15</v>
      </c>
      <c r="L6" s="40">
        <f t="shared" si="0"/>
        <v>148</v>
      </c>
      <c r="M6" s="41">
        <f>L6/(J6-L6)</f>
        <v>8.5057471264367815E-2</v>
      </c>
      <c r="N6" s="42">
        <f t="shared" si="1"/>
        <v>36060</v>
      </c>
      <c r="O6" s="42">
        <f t="shared" si="1"/>
        <v>-309</v>
      </c>
      <c r="P6" s="42">
        <f t="shared" si="1"/>
        <v>208.76999999999998</v>
      </c>
      <c r="Q6" s="43">
        <f>P6/(N6-P6)</f>
        <v>5.8232311694745194E-3</v>
      </c>
      <c r="R6" s="36">
        <f>V6+Z6+AD6</f>
        <v>2235</v>
      </c>
      <c r="S6" s="36">
        <f t="shared" ref="S6:T15" si="3">W6+AA6+AE6</f>
        <v>4</v>
      </c>
      <c r="T6" s="36">
        <f>X6+AB6+AF6</f>
        <v>89.23</v>
      </c>
      <c r="U6" s="37">
        <f>T6/(R6-T6)</f>
        <v>4.1584139959082292E-2</v>
      </c>
      <c r="V6" s="38">
        <v>2235</v>
      </c>
      <c r="W6" s="38">
        <v>4</v>
      </c>
      <c r="X6" s="38">
        <v>94</v>
      </c>
      <c r="Y6" s="39">
        <f>X6/(V6-X6)</f>
        <v>4.3904717421765528E-2</v>
      </c>
      <c r="Z6" s="40">
        <v>0</v>
      </c>
      <c r="AA6" s="40">
        <v>0</v>
      </c>
      <c r="AB6" s="40">
        <v>0</v>
      </c>
      <c r="AC6" s="41" t="s">
        <v>21</v>
      </c>
      <c r="AD6" s="38">
        <v>0</v>
      </c>
      <c r="AE6" s="38">
        <v>0</v>
      </c>
      <c r="AF6" s="38">
        <v>-4.7699999999999996</v>
      </c>
      <c r="AG6" s="39">
        <f t="shared" si="2"/>
        <v>-1</v>
      </c>
      <c r="AH6" s="42">
        <v>7373.67</v>
      </c>
      <c r="AI6" s="42">
        <v>-254.27</v>
      </c>
      <c r="AJ6" s="42">
        <v>-1120.33</v>
      </c>
      <c r="AK6" s="43">
        <f>AJ6/(AH6-AJ6)</f>
        <v>-0.13189663291735343</v>
      </c>
      <c r="AL6" s="44">
        <v>4551</v>
      </c>
      <c r="AM6" s="44">
        <v>21</v>
      </c>
      <c r="AN6" s="44">
        <v>609</v>
      </c>
      <c r="AO6" s="45">
        <f>AN6/(AL6-AN6)</f>
        <v>0.15449010654490106</v>
      </c>
      <c r="AP6" s="42">
        <v>1812</v>
      </c>
      <c r="AQ6" s="42">
        <v>-44</v>
      </c>
      <c r="AR6" s="42">
        <v>-344</v>
      </c>
      <c r="AS6" s="43">
        <f>AR6/(AP6-AR6)</f>
        <v>-0.15955473098330242</v>
      </c>
      <c r="AT6" s="38">
        <v>5612</v>
      </c>
      <c r="AU6" s="38">
        <v>-9</v>
      </c>
      <c r="AV6" s="38">
        <v>467</v>
      </c>
      <c r="AW6" s="39">
        <f>AV6/(AT6-AV6)</f>
        <v>9.0767735665694849E-2</v>
      </c>
    </row>
    <row r="7" spans="1:52" s="2" customFormat="1" ht="50.15" customHeight="1" x14ac:dyDescent="0.25">
      <c r="A7" s="9" t="s">
        <v>53</v>
      </c>
      <c r="B7" s="36">
        <v>37530.35</v>
      </c>
      <c r="C7" s="36">
        <v>-398.310000000005</v>
      </c>
      <c r="D7" s="36">
        <v>1409.02</v>
      </c>
      <c r="E7" s="37">
        <f t="shared" ref="E7:E15" si="4">D7/(B7-D7)</f>
        <v>3.900797672732427E-2</v>
      </c>
      <c r="F7" s="38">
        <v>35768.43</v>
      </c>
      <c r="G7" s="38">
        <v>-409.01000000000198</v>
      </c>
      <c r="H7" s="38">
        <v>1273.6400000000001</v>
      </c>
      <c r="I7" s="39">
        <f t="shared" ref="I7:I15" si="5">H7/(F7-H7)</f>
        <v>3.6922677308660237E-2</v>
      </c>
      <c r="J7" s="40">
        <f t="shared" si="0"/>
        <v>1761.9199999999983</v>
      </c>
      <c r="K7" s="40">
        <f t="shared" si="0"/>
        <v>10.699999999996976</v>
      </c>
      <c r="L7" s="40">
        <f t="shared" si="0"/>
        <v>135.37999999999988</v>
      </c>
      <c r="M7" s="41">
        <f t="shared" ref="M7:M15" si="6">L7/(J7-L7)</f>
        <v>8.3231891007906358E-2</v>
      </c>
      <c r="N7" s="42">
        <f t="shared" si="1"/>
        <v>32193.516856368566</v>
      </c>
      <c r="O7" s="42">
        <f t="shared" si="1"/>
        <v>-475.36631476320349</v>
      </c>
      <c r="P7" s="42">
        <f t="shared" si="1"/>
        <v>958.97685636856738</v>
      </c>
      <c r="Q7" s="43">
        <f t="shared" ref="Q7:Q15" si="7">P7/(N7-P7)</f>
        <v>3.0702448519125541E-2</v>
      </c>
      <c r="R7" s="36">
        <f t="shared" ref="R7:R15" si="8">V7+Z7+AD7</f>
        <v>3574.9131436314342</v>
      </c>
      <c r="S7" s="36">
        <f t="shared" si="3"/>
        <v>66.356314763201482</v>
      </c>
      <c r="T7" s="36">
        <f t="shared" si="3"/>
        <v>314.66314363143272</v>
      </c>
      <c r="U7" s="37">
        <f t="shared" ref="U7:U15" si="9">T7/(R7-T7)</f>
        <v>9.6515035237001029E-2</v>
      </c>
      <c r="V7" s="38">
        <v>3507.13</v>
      </c>
      <c r="W7" s="38">
        <v>52.640000000000299</v>
      </c>
      <c r="X7" s="38">
        <v>307.77999999999997</v>
      </c>
      <c r="Y7" s="39">
        <f t="shared" ref="Y7:Y15" si="10">X7/(V7-X7)</f>
        <v>9.6200790785628307E-2</v>
      </c>
      <c r="Z7" s="40">
        <v>10.005365853656301</v>
      </c>
      <c r="AA7" s="40">
        <v>6.3335955928778302E-3</v>
      </c>
      <c r="AB7" s="40">
        <v>-8.1549081189477395</v>
      </c>
      <c r="AC7" s="41">
        <f>AB7/(Z7-AB7)</f>
        <v>-0.44905204245541408</v>
      </c>
      <c r="AD7" s="38">
        <v>57.7777777777778</v>
      </c>
      <c r="AE7" s="38">
        <v>13.7099811676083</v>
      </c>
      <c r="AF7" s="38">
        <v>15.0380517503805</v>
      </c>
      <c r="AG7" s="39">
        <f t="shared" si="2"/>
        <v>0.35185185185185114</v>
      </c>
      <c r="AH7" s="42">
        <v>9088.9599999999991</v>
      </c>
      <c r="AI7" s="42">
        <v>-325.11000000000098</v>
      </c>
      <c r="AJ7" s="42">
        <v>-449.86000000000098</v>
      </c>
      <c r="AK7" s="43">
        <f t="shared" ref="AK7:AK15" si="11">AJ7/(AH7-AJ7)</f>
        <v>-4.7160969595820133E-2</v>
      </c>
      <c r="AL7" s="44">
        <v>4790.8999999999996</v>
      </c>
      <c r="AM7" s="44">
        <v>43.399999999999601</v>
      </c>
      <c r="AN7" s="44">
        <v>564.80999999999904</v>
      </c>
      <c r="AO7" s="45">
        <f t="shared" ref="AO7:AO15" si="12">AN7/(AL7-AN7)</f>
        <v>0.13364836054130391</v>
      </c>
      <c r="AP7" s="42">
        <v>2950.0576110000002</v>
      </c>
      <c r="AQ7" s="42">
        <v>-13.8635669999999</v>
      </c>
      <c r="AR7" s="42">
        <v>169.787372</v>
      </c>
      <c r="AS7" s="43">
        <f t="shared" ref="AS7" si="13">AR7/(AP7-AR7)</f>
        <v>6.1068657865815459E-2</v>
      </c>
      <c r="AT7" s="38">
        <v>4860.0508689999997</v>
      </c>
      <c r="AU7" s="38">
        <v>46.685713999999301</v>
      </c>
      <c r="AV7" s="38">
        <v>467.81648799999903</v>
      </c>
      <c r="AW7" s="39">
        <f t="shared" ref="AW7" si="14">AV7/(AT7-AV7)</f>
        <v>0.10650990985902012</v>
      </c>
    </row>
    <row r="8" spans="1:52" s="2" customFormat="1" ht="50.15" customHeight="1" x14ac:dyDescent="0.25">
      <c r="A8" s="9" t="s">
        <v>8</v>
      </c>
      <c r="B8" s="36">
        <v>27697.451775010501</v>
      </c>
      <c r="C8" s="36">
        <v>-388.24357509840002</v>
      </c>
      <c r="D8" s="36">
        <v>0.22149225890098001</v>
      </c>
      <c r="E8" s="37">
        <f t="shared" si="4"/>
        <v>7.9969100390125981E-6</v>
      </c>
      <c r="F8" s="38">
        <v>26299.139997659298</v>
      </c>
      <c r="G8" s="38">
        <v>-397.9669505608</v>
      </c>
      <c r="H8" s="38">
        <v>-292.1905784347</v>
      </c>
      <c r="I8" s="39">
        <f t="shared" si="5"/>
        <v>-1.098818946267336E-2</v>
      </c>
      <c r="J8" s="40">
        <f t="shared" si="0"/>
        <v>1398.3117773512022</v>
      </c>
      <c r="K8" s="40">
        <f t="shared" si="0"/>
        <v>9.7233754623999857</v>
      </c>
      <c r="L8" s="40">
        <f t="shared" si="0"/>
        <v>292.41207069360098</v>
      </c>
      <c r="M8" s="41">
        <f>L8/(J8-L8)</f>
        <v>0.2644110211199604</v>
      </c>
      <c r="N8" s="42">
        <f t="shared" si="1"/>
        <v>22865.515757361798</v>
      </c>
      <c r="O8" s="42">
        <f t="shared" si="1"/>
        <v>-380.36989533090002</v>
      </c>
      <c r="P8" s="42">
        <f t="shared" si="1"/>
        <v>-484.76672964479985</v>
      </c>
      <c r="Q8" s="43">
        <f t="shared" si="7"/>
        <v>-2.0760636618188718E-2</v>
      </c>
      <c r="R8" s="36">
        <f t="shared" si="8"/>
        <v>3433.6242402975004</v>
      </c>
      <c r="S8" s="36">
        <f t="shared" si="3"/>
        <v>-17.597055229899993</v>
      </c>
      <c r="T8" s="36">
        <f t="shared" si="3"/>
        <v>192.57615121009985</v>
      </c>
      <c r="U8" s="37">
        <f>T8/(R8-T8)</f>
        <v>5.9417862961831144E-2</v>
      </c>
      <c r="V8" s="38">
        <v>1648.6025782975</v>
      </c>
      <c r="W8" s="38">
        <v>-36.3016102299</v>
      </c>
      <c r="X8" s="38">
        <v>313.31876021009998</v>
      </c>
      <c r="Y8" s="39">
        <f>X8/(V8-X8)</f>
        <v>0.23464581534350021</v>
      </c>
      <c r="Z8" s="40">
        <v>1600.623885</v>
      </c>
      <c r="AA8" s="40">
        <v>-1.9999999949504901E-6</v>
      </c>
      <c r="AB8" s="40">
        <v>-92.646140000000102</v>
      </c>
      <c r="AC8" s="41">
        <f>AB8/(Z8-AB8)</f>
        <v>-5.4714332996002868E-2</v>
      </c>
      <c r="AD8" s="38">
        <v>184.39777699999999</v>
      </c>
      <c r="AE8" s="38">
        <v>18.704557000000001</v>
      </c>
      <c r="AF8" s="38">
        <v>-28.096468999999999</v>
      </c>
      <c r="AG8" s="39">
        <f t="shared" si="2"/>
        <v>-0.13222225791469197</v>
      </c>
      <c r="AH8" s="42">
        <v>4767</v>
      </c>
      <c r="AI8" s="42">
        <v>-261</v>
      </c>
      <c r="AJ8" s="42">
        <v>-18</v>
      </c>
      <c r="AK8" s="43">
        <f>AJ8/(AH8-AJ8)</f>
        <v>-3.761755485893417E-3</v>
      </c>
      <c r="AL8" s="44">
        <v>3338.8471709999999</v>
      </c>
      <c r="AM8" s="44">
        <v>-51.931061000000199</v>
      </c>
      <c r="AN8" s="44">
        <v>487.61766699999998</v>
      </c>
      <c r="AO8" s="45">
        <f>AN8/(AL8-AN8)</f>
        <v>0.17102013931741358</v>
      </c>
      <c r="AP8" s="42">
        <v>1623</v>
      </c>
      <c r="AQ8" s="42">
        <v>-105</v>
      </c>
      <c r="AR8" s="42">
        <v>62</v>
      </c>
      <c r="AS8" s="43">
        <f>AR8/(AP8-AR8)</f>
        <v>3.9718129404228059E-2</v>
      </c>
      <c r="AT8" s="38">
        <v>2914</v>
      </c>
      <c r="AU8" s="38">
        <v>-71</v>
      </c>
      <c r="AV8" s="38">
        <v>301</v>
      </c>
      <c r="AW8" s="39">
        <f>AV8/(AT8-AV8)</f>
        <v>0.11519326444699579</v>
      </c>
    </row>
    <row r="9" spans="1:52" s="2" customFormat="1" ht="50.15" customHeight="1" x14ac:dyDescent="0.25">
      <c r="A9" s="9" t="s">
        <v>7</v>
      </c>
      <c r="B9" s="36">
        <v>51426.838026899997</v>
      </c>
      <c r="C9" s="36">
        <v>-458.96263099999999</v>
      </c>
      <c r="D9" s="36">
        <v>2655.0784815000002</v>
      </c>
      <c r="E9" s="37">
        <f t="shared" si="4"/>
        <v>5.4438849577048302E-2</v>
      </c>
      <c r="F9" s="38">
        <v>49090.400000000001</v>
      </c>
      <c r="G9" s="38">
        <v>-487.57</v>
      </c>
      <c r="H9" s="38">
        <v>2498.96</v>
      </c>
      <c r="I9" s="39">
        <f t="shared" si="5"/>
        <v>5.3635603449904104E-2</v>
      </c>
      <c r="J9" s="40">
        <f t="shared" si="0"/>
        <v>2336.4380268999957</v>
      </c>
      <c r="K9" s="40">
        <f t="shared" si="0"/>
        <v>28.607369000000006</v>
      </c>
      <c r="L9" s="40">
        <f>D9-H9</f>
        <v>156.11848150000014</v>
      </c>
      <c r="M9" s="41">
        <f t="shared" si="6"/>
        <v>7.1603486667528388E-2</v>
      </c>
      <c r="N9" s="42">
        <f t="shared" si="1"/>
        <v>47105.114188899999</v>
      </c>
      <c r="O9" s="42">
        <f t="shared" si="1"/>
        <v>-487.1380734</v>
      </c>
      <c r="P9" s="42">
        <f t="shared" si="1"/>
        <v>3035.9066082999998</v>
      </c>
      <c r="Q9" s="43">
        <f t="shared" si="7"/>
        <v>6.8889521163898945E-2</v>
      </c>
      <c r="R9" s="36">
        <f t="shared" si="8"/>
        <v>1985.2858111</v>
      </c>
      <c r="S9" s="36">
        <f t="shared" si="3"/>
        <v>-0.43192660000000016</v>
      </c>
      <c r="T9" s="36">
        <f t="shared" si="3"/>
        <v>-536.94660829999998</v>
      </c>
      <c r="U9" s="37">
        <f t="shared" si="9"/>
        <v>-0.212885459789519</v>
      </c>
      <c r="V9" s="38">
        <v>1939.7302555000001</v>
      </c>
      <c r="W9" s="38">
        <v>-2.7671432</v>
      </c>
      <c r="X9" s="38">
        <v>-562.9131228</v>
      </c>
      <c r="Y9" s="39">
        <f t="shared" si="10"/>
        <v>-0.22492742181364112</v>
      </c>
      <c r="Z9" s="40">
        <v>45.555555599999998</v>
      </c>
      <c r="AA9" s="40">
        <v>2.3352165999999999</v>
      </c>
      <c r="AB9" s="40">
        <v>25.966514499999999</v>
      </c>
      <c r="AC9" s="41">
        <f>AB9/(Z9-AB9)</f>
        <v>1.3255633273442875</v>
      </c>
      <c r="AD9" s="38">
        <v>0</v>
      </c>
      <c r="AE9" s="38">
        <v>0</v>
      </c>
      <c r="AF9" s="38">
        <v>0</v>
      </c>
      <c r="AG9" s="53" t="s">
        <v>21</v>
      </c>
      <c r="AH9" s="42">
        <v>11105.6</v>
      </c>
      <c r="AI9" s="42">
        <v>-180.23</v>
      </c>
      <c r="AJ9" s="42">
        <v>-587.46</v>
      </c>
      <c r="AK9" s="43">
        <f t="shared" si="11"/>
        <v>-5.0240056922653265E-2</v>
      </c>
      <c r="AL9" s="44">
        <v>4333.3958013000001</v>
      </c>
      <c r="AM9" s="44">
        <v>71.0273459</v>
      </c>
      <c r="AN9" s="44">
        <v>910.29554310000003</v>
      </c>
      <c r="AO9" s="45">
        <f t="shared" si="12"/>
        <v>0.26592722223644977</v>
      </c>
      <c r="AP9" s="42">
        <v>2057.37</v>
      </c>
      <c r="AQ9" s="42">
        <v>-17.91</v>
      </c>
      <c r="AR9" s="42">
        <v>32.14</v>
      </c>
      <c r="AS9" s="43">
        <f t="shared" ref="AS9:AS15" si="15">AR9/(AP9-AR9)</f>
        <v>1.5869802442191754E-2</v>
      </c>
      <c r="AT9" s="38">
        <v>5239.8061614999997</v>
      </c>
      <c r="AU9" s="38">
        <v>17.056623699999999</v>
      </c>
      <c r="AV9" s="38">
        <v>398.26467309999998</v>
      </c>
      <c r="AW9" s="39">
        <f t="shared" ref="AW9:AW15" si="16">AV9/(AT9-AV9)</f>
        <v>8.2259890585305265E-2</v>
      </c>
    </row>
    <row r="10" spans="1:52" s="2" customFormat="1" ht="50.15" customHeight="1" x14ac:dyDescent="0.25">
      <c r="A10" s="9" t="s">
        <v>9</v>
      </c>
      <c r="B10" s="36">
        <v>39288.892354930802</v>
      </c>
      <c r="C10" s="36">
        <v>-172.37188572729801</v>
      </c>
      <c r="D10" s="36">
        <v>693.06122276010103</v>
      </c>
      <c r="E10" s="37">
        <f t="shared" si="4"/>
        <v>1.7956893333550088E-2</v>
      </c>
      <c r="F10" s="38">
        <v>37860.5537316759</v>
      </c>
      <c r="G10" s="38">
        <v>-207.77167068760201</v>
      </c>
      <c r="H10" s="38">
        <v>322.98823737769999</v>
      </c>
      <c r="I10" s="39">
        <f t="shared" si="5"/>
        <v>8.6044002354590775E-3</v>
      </c>
      <c r="J10" s="40">
        <f t="shared" si="0"/>
        <v>1428.3386232549019</v>
      </c>
      <c r="K10" s="40">
        <f t="shared" si="0"/>
        <v>35.399784960304004</v>
      </c>
      <c r="L10" s="40">
        <f t="shared" si="0"/>
        <v>370.07298538240104</v>
      </c>
      <c r="M10" s="41">
        <f t="shared" si="6"/>
        <v>0.34969762991301734</v>
      </c>
      <c r="N10" s="42">
        <f t="shared" si="1"/>
        <v>34727.259096120099</v>
      </c>
      <c r="O10" s="42">
        <f t="shared" si="1"/>
        <v>-248.65657686570211</v>
      </c>
      <c r="P10" s="42">
        <f t="shared" si="1"/>
        <v>870.90031726869995</v>
      </c>
      <c r="Q10" s="43">
        <f t="shared" si="7"/>
        <v>2.5723389894270428E-2</v>
      </c>
      <c r="R10" s="36">
        <f t="shared" si="8"/>
        <v>3133.2946355557997</v>
      </c>
      <c r="S10" s="36">
        <f t="shared" si="3"/>
        <v>40.884906178100103</v>
      </c>
      <c r="T10" s="36">
        <f t="shared" si="3"/>
        <v>-547.91207989099996</v>
      </c>
      <c r="U10" s="37">
        <f t="shared" si="9"/>
        <v>-0.14884034563772064</v>
      </c>
      <c r="V10" s="38">
        <v>2950.9213022224999</v>
      </c>
      <c r="W10" s="38">
        <v>41.034623692300102</v>
      </c>
      <c r="X10" s="38">
        <v>-542.67023514209995</v>
      </c>
      <c r="Y10" s="39">
        <f t="shared" si="10"/>
        <v>-0.15533305177154874</v>
      </c>
      <c r="Z10" s="40">
        <v>178.54</v>
      </c>
      <c r="AA10" s="40">
        <v>0</v>
      </c>
      <c r="AB10" s="40">
        <v>-2.6121643836000001</v>
      </c>
      <c r="AC10" s="41">
        <f t="shared" ref="AC10:AC15" si="17">AB10/(Z10-AB10)</f>
        <v>-1.4419724944983786E-2</v>
      </c>
      <c r="AD10" s="38">
        <v>3.8333333333000001</v>
      </c>
      <c r="AE10" s="38">
        <v>-0.14971751420000001</v>
      </c>
      <c r="AF10" s="38">
        <v>-2.6296803653</v>
      </c>
      <c r="AG10" s="46">
        <f t="shared" si="2"/>
        <v>-0.40688144694318595</v>
      </c>
      <c r="AH10" s="42">
        <v>6212.8738689588999</v>
      </c>
      <c r="AI10" s="42">
        <v>-144.4502834578</v>
      </c>
      <c r="AJ10" s="42">
        <v>-635.43579548319997</v>
      </c>
      <c r="AK10" s="43">
        <f t="shared" si="11"/>
        <v>-9.2787246286849381E-2</v>
      </c>
      <c r="AL10" s="44">
        <v>5070.5787551465</v>
      </c>
      <c r="AM10" s="44">
        <v>24.293523410699901</v>
      </c>
      <c r="AN10" s="44">
        <v>512.76815068170004</v>
      </c>
      <c r="AO10" s="45">
        <f t="shared" si="12"/>
        <v>0.11250317206673657</v>
      </c>
      <c r="AP10" s="42">
        <v>3147.9953687710999</v>
      </c>
      <c r="AQ10" s="42">
        <v>-5.1789192434998803</v>
      </c>
      <c r="AR10" s="42">
        <v>-272.32628633529998</v>
      </c>
      <c r="AS10" s="43">
        <f t="shared" si="15"/>
        <v>-7.9620080739695356E-2</v>
      </c>
      <c r="AT10" s="38">
        <v>7765.1617134466997</v>
      </c>
      <c r="AU10" s="38">
        <v>36.515970901000401</v>
      </c>
      <c r="AV10" s="38">
        <v>554.81323831920099</v>
      </c>
      <c r="AW10" s="39">
        <f t="shared" si="16"/>
        <v>7.6946799483140149E-2</v>
      </c>
    </row>
    <row r="11" spans="1:52" s="2" customFormat="1" ht="50.15" customHeight="1" x14ac:dyDescent="0.25">
      <c r="A11" s="9" t="s">
        <v>10</v>
      </c>
      <c r="B11" s="36">
        <v>26073.326935442099</v>
      </c>
      <c r="C11" s="36">
        <v>-175.17339270830001</v>
      </c>
      <c r="D11" s="36">
        <v>-431.47207681129998</v>
      </c>
      <c r="E11" s="37">
        <f t="shared" si="4"/>
        <v>-1.6279017117308708E-2</v>
      </c>
      <c r="F11" s="38">
        <v>25431.4429205302</v>
      </c>
      <c r="G11" s="38">
        <v>-192.53332668549999</v>
      </c>
      <c r="H11" s="38">
        <v>-357.65150968389997</v>
      </c>
      <c r="I11" s="39">
        <f t="shared" si="5"/>
        <v>-1.3868323707593279E-2</v>
      </c>
      <c r="J11" s="40">
        <f t="shared" si="0"/>
        <v>641.8840149118987</v>
      </c>
      <c r="K11" s="40">
        <f t="shared" si="0"/>
        <v>17.359933977199972</v>
      </c>
      <c r="L11" s="40">
        <f t="shared" si="0"/>
        <v>-73.820567127400011</v>
      </c>
      <c r="M11" s="41">
        <f t="shared" si="6"/>
        <v>-0.10314390738851885</v>
      </c>
      <c r="N11" s="42">
        <f t="shared" si="1"/>
        <v>22891.201900530199</v>
      </c>
      <c r="O11" s="42">
        <f t="shared" si="1"/>
        <v>-288.36214329559999</v>
      </c>
      <c r="P11" s="42">
        <f t="shared" si="1"/>
        <v>-187.73913316459996</v>
      </c>
      <c r="Q11" s="43">
        <f t="shared" si="7"/>
        <v>-8.1346511042471367E-3</v>
      </c>
      <c r="R11" s="36">
        <f t="shared" si="8"/>
        <v>2540.2410199999999</v>
      </c>
      <c r="S11" s="36">
        <f t="shared" si="3"/>
        <v>95.828816610099992</v>
      </c>
      <c r="T11" s="36">
        <f t="shared" si="3"/>
        <v>-169.91237651930001</v>
      </c>
      <c r="U11" s="37">
        <f t="shared" si="9"/>
        <v>-6.2694745152625533E-2</v>
      </c>
      <c r="V11" s="38">
        <v>2042.6832422222001</v>
      </c>
      <c r="W11" s="38">
        <v>98.576123578099995</v>
      </c>
      <c r="X11" s="38">
        <v>-140.9983734752</v>
      </c>
      <c r="Y11" s="39">
        <f t="shared" si="10"/>
        <v>-6.4569107722313029E-2</v>
      </c>
      <c r="Z11" s="40">
        <v>300</v>
      </c>
      <c r="AA11" s="40">
        <v>0</v>
      </c>
      <c r="AB11" s="40">
        <v>-72.958904109599999</v>
      </c>
      <c r="AC11" s="41">
        <f t="shared" si="17"/>
        <v>-0.19562183207230749</v>
      </c>
      <c r="AD11" s="38">
        <v>197.5577777778</v>
      </c>
      <c r="AE11" s="38">
        <v>-2.7473069680000002</v>
      </c>
      <c r="AF11" s="38">
        <v>44.0449010655</v>
      </c>
      <c r="AG11" s="39">
        <f t="shared" si="2"/>
        <v>0.28691339781251696</v>
      </c>
      <c r="AH11" s="42">
        <v>3437.4019216168999</v>
      </c>
      <c r="AI11" s="42">
        <v>-73.259348765599995</v>
      </c>
      <c r="AJ11" s="42">
        <v>-300.29073250120001</v>
      </c>
      <c r="AK11" s="43">
        <f t="shared" si="11"/>
        <v>-8.034120520057926E-2</v>
      </c>
      <c r="AL11" s="44">
        <v>2869.4000851831001</v>
      </c>
      <c r="AM11" s="44">
        <v>-25.0686803969</v>
      </c>
      <c r="AN11" s="44">
        <v>150.83502353270001</v>
      </c>
      <c r="AO11" s="39">
        <f t="shared" si="12"/>
        <v>5.5483323044374866E-2</v>
      </c>
      <c r="AP11" s="42">
        <v>1627.4442088914</v>
      </c>
      <c r="AQ11" s="42">
        <v>-17.644979245799998</v>
      </c>
      <c r="AR11" s="42">
        <v>-234.15170481940001</v>
      </c>
      <c r="AS11" s="43">
        <f t="shared" si="15"/>
        <v>-0.1257800917453967</v>
      </c>
      <c r="AT11" s="38">
        <v>6871.8176273562003</v>
      </c>
      <c r="AU11" s="38">
        <v>-16.217450311</v>
      </c>
      <c r="AV11" s="38">
        <v>283.21425119909998</v>
      </c>
      <c r="AW11" s="39">
        <f t="shared" si="16"/>
        <v>4.2985475833011641E-2</v>
      </c>
    </row>
    <row r="12" spans="1:52" s="2" customFormat="1" ht="50.15" customHeight="1" x14ac:dyDescent="0.25">
      <c r="A12" s="15" t="s">
        <v>11</v>
      </c>
      <c r="B12" s="36">
        <v>22684.9580479707</v>
      </c>
      <c r="C12" s="36">
        <v>-89.515002288066199</v>
      </c>
      <c r="D12" s="36">
        <v>-20.240410455949998</v>
      </c>
      <c r="E12" s="37">
        <f t="shared" si="4"/>
        <v>-8.9144389083452877E-4</v>
      </c>
      <c r="F12" s="38">
        <v>20697.113490563301</v>
      </c>
      <c r="G12" s="38">
        <v>-110.715826437063</v>
      </c>
      <c r="H12" s="38">
        <v>-192.92174542944801</v>
      </c>
      <c r="I12" s="39">
        <f t="shared" si="5"/>
        <v>-9.2351086654488285E-3</v>
      </c>
      <c r="J12" s="40">
        <f>B12-F12</f>
        <v>1987.8445574073994</v>
      </c>
      <c r="K12" s="40">
        <f t="shared" si="0"/>
        <v>21.200824148996801</v>
      </c>
      <c r="L12" s="40">
        <f t="shared" si="0"/>
        <v>172.681334973498</v>
      </c>
      <c r="M12" s="41">
        <f t="shared" si="6"/>
        <v>9.513267613584328E-2</v>
      </c>
      <c r="N12" s="42">
        <f t="shared" si="1"/>
        <v>18992.94213850352</v>
      </c>
      <c r="O12" s="42">
        <f t="shared" si="1"/>
        <v>-95.45458527649933</v>
      </c>
      <c r="P12" s="42">
        <f t="shared" si="1"/>
        <v>-369.89931255087174</v>
      </c>
      <c r="Q12" s="43">
        <f t="shared" si="7"/>
        <v>-1.9103565635545144E-2</v>
      </c>
      <c r="R12" s="36">
        <f t="shared" si="8"/>
        <v>1704.1713520597807</v>
      </c>
      <c r="S12" s="36">
        <f t="shared" si="3"/>
        <v>-15.261241160563669</v>
      </c>
      <c r="T12" s="36">
        <f t="shared" si="3"/>
        <v>176.97756712142376</v>
      </c>
      <c r="U12" s="37">
        <f t="shared" si="9"/>
        <v>0.11588415881915551</v>
      </c>
      <c r="V12" s="77">
        <v>1384.7746853930701</v>
      </c>
      <c r="W12" s="77">
        <v>-6.8351959627996202</v>
      </c>
      <c r="X12" s="77">
        <v>312.67651689307201</v>
      </c>
      <c r="Y12" s="78">
        <f t="shared" si="10"/>
        <v>0.29164914751281246</v>
      </c>
      <c r="Z12" s="40">
        <v>316.73000000003401</v>
      </c>
      <c r="AA12" s="40">
        <v>-7.0249152542559701</v>
      </c>
      <c r="AB12" s="40">
        <v>-134.99575342462299</v>
      </c>
      <c r="AC12" s="41">
        <f>AB12/(Z12-AB12)</f>
        <v>-0.29884449226368676</v>
      </c>
      <c r="AD12" s="38">
        <v>2.6666666666766701</v>
      </c>
      <c r="AE12" s="38">
        <v>-1.40112994350808</v>
      </c>
      <c r="AF12" s="38">
        <v>-0.70319634702525002</v>
      </c>
      <c r="AG12" s="39">
        <f t="shared" si="2"/>
        <v>-0.2086720867186713</v>
      </c>
      <c r="AH12" s="77">
        <v>3264.0215428542301</v>
      </c>
      <c r="AI12" s="77">
        <v>-29.841991801373801</v>
      </c>
      <c r="AJ12" s="77">
        <v>-516.38633631576704</v>
      </c>
      <c r="AK12" s="78">
        <f t="shared" si="11"/>
        <v>-0.13659540261807454</v>
      </c>
      <c r="AL12" s="77">
        <v>1680.2750123595799</v>
      </c>
      <c r="AM12" s="77">
        <v>12.9004971054005</v>
      </c>
      <c r="AN12" s="77">
        <v>-63.870881887001097</v>
      </c>
      <c r="AO12" s="78">
        <f t="shared" si="12"/>
        <v>-3.6620148634178E-2</v>
      </c>
      <c r="AP12" s="77">
        <v>932.68714943820203</v>
      </c>
      <c r="AQ12" s="77">
        <v>-6.1477539516281503</v>
      </c>
      <c r="AR12" s="77">
        <v>-161.68619439752001</v>
      </c>
      <c r="AS12" s="78">
        <f t="shared" si="15"/>
        <v>-0.14774317677623455</v>
      </c>
      <c r="AT12" s="77">
        <v>3274.5511212609999</v>
      </c>
      <c r="AU12" s="77">
        <v>7.3161042854435401</v>
      </c>
      <c r="AV12" s="77">
        <v>-89.7504006769759</v>
      </c>
      <c r="AW12" s="78">
        <f t="shared" si="16"/>
        <v>-2.6677276127520216E-2</v>
      </c>
    </row>
    <row r="13" spans="1:52" s="2" customFormat="1" ht="50.15" customHeight="1" x14ac:dyDescent="0.25">
      <c r="A13" s="15" t="s">
        <v>54</v>
      </c>
      <c r="B13" s="36">
        <v>17843.906299999999</v>
      </c>
      <c r="C13" s="36">
        <v>-170.00450000000299</v>
      </c>
      <c r="D13" s="36">
        <v>1719.422</v>
      </c>
      <c r="E13" s="37">
        <f t="shared" si="4"/>
        <v>0.10663423201695822</v>
      </c>
      <c r="F13" s="38">
        <v>17448.095300000001</v>
      </c>
      <c r="G13" s="38">
        <v>-159.713899999999</v>
      </c>
      <c r="H13" s="38">
        <v>1696.9793999999999</v>
      </c>
      <c r="I13" s="39">
        <f t="shared" si="5"/>
        <v>0.10773709055115263</v>
      </c>
      <c r="J13" s="40">
        <f t="shared" si="0"/>
        <v>395.81099999999788</v>
      </c>
      <c r="K13" s="40">
        <f t="shared" si="0"/>
        <v>-10.290600000003991</v>
      </c>
      <c r="L13" s="40">
        <f t="shared" si="0"/>
        <v>22.442600000000084</v>
      </c>
      <c r="M13" s="41">
        <f t="shared" si="6"/>
        <v>6.0108461240962592E-2</v>
      </c>
      <c r="N13" s="42">
        <f t="shared" si="1"/>
        <v>15247.525722222108</v>
      </c>
      <c r="O13" s="42">
        <f t="shared" si="1"/>
        <v>-112.97118708830885</v>
      </c>
      <c r="P13" s="42">
        <f t="shared" si="1"/>
        <v>1364.2243646878637</v>
      </c>
      <c r="Q13" s="43">
        <f t="shared" si="7"/>
        <v>9.8263685960221628E-2</v>
      </c>
      <c r="R13" s="36">
        <f t="shared" si="8"/>
        <v>2200.5695777778919</v>
      </c>
      <c r="S13" s="36">
        <f t="shared" si="3"/>
        <v>-46.742712911690148</v>
      </c>
      <c r="T13" s="36">
        <f t="shared" si="3"/>
        <v>332.75503531213627</v>
      </c>
      <c r="U13" s="37">
        <f t="shared" si="9"/>
        <v>0.17815207438788691</v>
      </c>
      <c r="V13" s="38">
        <v>1309.4973555556701</v>
      </c>
      <c r="W13" s="38">
        <v>-46.793017325693398</v>
      </c>
      <c r="X13" s="38">
        <v>338.86473089813302</v>
      </c>
      <c r="Y13" s="39">
        <f t="shared" si="10"/>
        <v>0.34911739239930534</v>
      </c>
      <c r="Z13" s="40">
        <v>891</v>
      </c>
      <c r="AA13" s="40">
        <v>-2.1917808218972799E-2</v>
      </c>
      <c r="AB13" s="40">
        <v>-2.1917808218972799E-2</v>
      </c>
      <c r="AC13" s="41">
        <f t="shared" si="17"/>
        <v>-2.4598506255477237E-5</v>
      </c>
      <c r="AD13" s="38">
        <v>7.2222222222222202E-2</v>
      </c>
      <c r="AE13" s="38">
        <v>7.2222222222222202E-2</v>
      </c>
      <c r="AF13" s="38">
        <v>-6.08777777777778</v>
      </c>
      <c r="AG13" s="46">
        <f t="shared" si="2"/>
        <v>-0.98827561327561331</v>
      </c>
      <c r="AH13" s="42">
        <v>3116.9355316655901</v>
      </c>
      <c r="AI13" s="42">
        <v>-92.353343389129805</v>
      </c>
      <c r="AJ13" s="42">
        <v>280.74060426648998</v>
      </c>
      <c r="AK13" s="43">
        <f t="shared" si="11"/>
        <v>9.8984946892892126E-2</v>
      </c>
      <c r="AL13" s="44">
        <v>1560.80656984998</v>
      </c>
      <c r="AM13" s="44">
        <v>24.293136604979999</v>
      </c>
      <c r="AN13" s="44">
        <v>181.72102505537001</v>
      </c>
      <c r="AO13" s="45">
        <f t="shared" si="12"/>
        <v>0.13176921891559243</v>
      </c>
      <c r="AP13" s="42">
        <v>792.96958061112298</v>
      </c>
      <c r="AQ13" s="42">
        <v>-10.797049897362101</v>
      </c>
      <c r="AR13" s="42">
        <v>-89.754321750114997</v>
      </c>
      <c r="AS13" s="43">
        <f t="shared" si="15"/>
        <v>-0.10167881656996838</v>
      </c>
      <c r="AT13" s="38">
        <v>2294.4477643790601</v>
      </c>
      <c r="AU13" s="38">
        <v>6.4922941772401801</v>
      </c>
      <c r="AV13" s="38">
        <v>286.47286093256002</v>
      </c>
      <c r="AW13" s="39">
        <f t="shared" si="16"/>
        <v>0.14266755049620206</v>
      </c>
    </row>
    <row r="14" spans="1:52" ht="50.15" customHeight="1" x14ac:dyDescent="0.25">
      <c r="A14" s="16" t="s">
        <v>55</v>
      </c>
      <c r="B14" s="36">
        <v>13488</v>
      </c>
      <c r="C14" s="36">
        <v>-109</v>
      </c>
      <c r="D14" s="36">
        <v>122</v>
      </c>
      <c r="E14" s="37">
        <f t="shared" si="4"/>
        <v>9.1276372886428259E-3</v>
      </c>
      <c r="F14" s="38">
        <v>13243</v>
      </c>
      <c r="G14" s="38">
        <v>-106</v>
      </c>
      <c r="H14" s="38">
        <v>124</v>
      </c>
      <c r="I14" s="39">
        <f t="shared" si="5"/>
        <v>9.451939934446223E-3</v>
      </c>
      <c r="J14" s="40">
        <f t="shared" si="0"/>
        <v>245</v>
      </c>
      <c r="K14" s="40">
        <f t="shared" si="0"/>
        <v>-3</v>
      </c>
      <c r="L14" s="40">
        <f t="shared" si="0"/>
        <v>-2</v>
      </c>
      <c r="M14" s="41">
        <f t="shared" si="6"/>
        <v>-8.0971659919028341E-3</v>
      </c>
      <c r="N14" s="42">
        <f t="shared" si="1"/>
        <v>11895</v>
      </c>
      <c r="O14" s="42">
        <f t="shared" si="1"/>
        <v>-99</v>
      </c>
      <c r="P14" s="42">
        <f>H14-T14</f>
        <v>222</v>
      </c>
      <c r="Q14" s="43">
        <f t="shared" si="7"/>
        <v>1.9018247237214084E-2</v>
      </c>
      <c r="R14" s="36">
        <f t="shared" si="8"/>
        <v>1348</v>
      </c>
      <c r="S14" s="36">
        <f t="shared" si="3"/>
        <v>-7</v>
      </c>
      <c r="T14" s="36">
        <f t="shared" si="3"/>
        <v>-98</v>
      </c>
      <c r="U14" s="37">
        <f t="shared" si="9"/>
        <v>-6.7773167358229594E-2</v>
      </c>
      <c r="V14" s="38">
        <v>1348</v>
      </c>
      <c r="W14" s="38">
        <v>-7</v>
      </c>
      <c r="X14" s="38">
        <v>-98</v>
      </c>
      <c r="Y14" s="39">
        <f t="shared" si="10"/>
        <v>-6.7773167358229594E-2</v>
      </c>
      <c r="Z14" s="40">
        <v>0</v>
      </c>
      <c r="AA14" s="40">
        <v>0</v>
      </c>
      <c r="AB14" s="40">
        <v>0</v>
      </c>
      <c r="AC14" s="41" t="s">
        <v>56</v>
      </c>
      <c r="AD14" s="38">
        <v>0</v>
      </c>
      <c r="AE14" s="38">
        <v>0</v>
      </c>
      <c r="AF14" s="38">
        <v>0</v>
      </c>
      <c r="AG14" s="53" t="s">
        <v>21</v>
      </c>
      <c r="AH14" s="42">
        <v>2180</v>
      </c>
      <c r="AI14" s="42">
        <v>7</v>
      </c>
      <c r="AJ14" s="42">
        <v>11</v>
      </c>
      <c r="AK14" s="43">
        <f t="shared" si="11"/>
        <v>5.0714615029967729E-3</v>
      </c>
      <c r="AL14" s="44">
        <v>1720</v>
      </c>
      <c r="AM14" s="44">
        <v>-13</v>
      </c>
      <c r="AN14" s="44">
        <v>139</v>
      </c>
      <c r="AO14" s="45">
        <f t="shared" si="12"/>
        <v>8.7919038583175207E-2</v>
      </c>
      <c r="AP14" s="42">
        <v>835</v>
      </c>
      <c r="AQ14" s="42">
        <v>-23</v>
      </c>
      <c r="AR14" s="42">
        <v>-134</v>
      </c>
      <c r="AS14" s="43">
        <f t="shared" si="15"/>
        <v>-0.13828689370485037</v>
      </c>
      <c r="AT14" s="38">
        <v>3152</v>
      </c>
      <c r="AU14" s="38">
        <v>9</v>
      </c>
      <c r="AV14" s="38">
        <v>93</v>
      </c>
      <c r="AW14" s="39">
        <f t="shared" si="16"/>
        <v>3.0402092186989211E-2</v>
      </c>
      <c r="AZ14" s="2"/>
    </row>
    <row r="15" spans="1:52" ht="50.15" customHeight="1" x14ac:dyDescent="0.25">
      <c r="A15" s="16" t="s">
        <v>42</v>
      </c>
      <c r="B15" s="36">
        <v>16066.824384599</v>
      </c>
      <c r="C15" s="36">
        <v>-212.525615401008</v>
      </c>
      <c r="D15" s="36">
        <v>56.9723973611963</v>
      </c>
      <c r="E15" s="37">
        <f t="shared" si="4"/>
        <v>3.5585836400368748E-3</v>
      </c>
      <c r="F15" s="38">
        <v>14890.3031045646</v>
      </c>
      <c r="G15" s="38">
        <v>-217.17969198155501</v>
      </c>
      <c r="H15" s="38">
        <v>38.543889006485202</v>
      </c>
      <c r="I15" s="39">
        <f t="shared" si="5"/>
        <v>2.5952406342615729E-3</v>
      </c>
      <c r="J15" s="40">
        <f t="shared" si="0"/>
        <v>1176.5212800343998</v>
      </c>
      <c r="K15" s="40">
        <f t="shared" si="0"/>
        <v>4.654076580547013</v>
      </c>
      <c r="L15" s="40">
        <f t="shared" si="0"/>
        <v>18.428508354711099</v>
      </c>
      <c r="M15" s="41">
        <f t="shared" si="6"/>
        <v>1.5912808373704408E-2</v>
      </c>
      <c r="N15" s="42">
        <f t="shared" si="1"/>
        <v>13770.2031045646</v>
      </c>
      <c r="O15" s="42">
        <f t="shared" si="1"/>
        <v>-219.02545469345498</v>
      </c>
      <c r="P15" s="42">
        <f>H15-T15</f>
        <v>63.794544779485172</v>
      </c>
      <c r="Q15" s="43">
        <f t="shared" si="7"/>
        <v>4.6543589081869102E-3</v>
      </c>
      <c r="R15" s="36">
        <f t="shared" si="8"/>
        <v>1120.0999999999999</v>
      </c>
      <c r="S15" s="36">
        <f t="shared" si="3"/>
        <v>1.84576271189997</v>
      </c>
      <c r="T15" s="36">
        <f t="shared" si="3"/>
        <v>-25.25065577299997</v>
      </c>
      <c r="U15" s="37">
        <f t="shared" si="9"/>
        <v>-2.2046222827679127E-2</v>
      </c>
      <c r="V15" s="38">
        <v>793.42</v>
      </c>
      <c r="W15" s="38">
        <v>1.84576271189997</v>
      </c>
      <c r="X15" s="38">
        <v>-25.062162622300001</v>
      </c>
      <c r="Y15" s="39">
        <f t="shared" si="10"/>
        <v>-3.0620291762992625E-2</v>
      </c>
      <c r="Z15" s="40">
        <v>326.68</v>
      </c>
      <c r="AA15" s="40">
        <v>0</v>
      </c>
      <c r="AB15" s="40">
        <v>-0.188493150699969</v>
      </c>
      <c r="AC15" s="41">
        <f t="shared" si="17"/>
        <v>-5.7666356546963308E-4</v>
      </c>
      <c r="AD15" s="38">
        <v>0</v>
      </c>
      <c r="AE15" s="38">
        <v>0</v>
      </c>
      <c r="AF15" s="38">
        <v>0</v>
      </c>
      <c r="AG15" s="53" t="s">
        <v>21</v>
      </c>
      <c r="AH15" s="42">
        <v>1558.87</v>
      </c>
      <c r="AI15" s="42">
        <v>-71.220095155000095</v>
      </c>
      <c r="AJ15" s="42">
        <v>-3.4839945713001699</v>
      </c>
      <c r="AK15" s="43">
        <f t="shared" si="11"/>
        <v>-2.2299649013002047E-3</v>
      </c>
      <c r="AL15" s="44">
        <v>1881.8492291892001</v>
      </c>
      <c r="AM15" s="44">
        <v>-9.6286830317999392</v>
      </c>
      <c r="AN15" s="44">
        <v>136.44807470640001</v>
      </c>
      <c r="AO15" s="45">
        <f t="shared" si="12"/>
        <v>7.8175767419400216E-2</v>
      </c>
      <c r="AP15" s="42">
        <v>1386.18</v>
      </c>
      <c r="AQ15" s="42">
        <v>-1.8199999999999401</v>
      </c>
      <c r="AR15" s="42">
        <v>92.180000000000106</v>
      </c>
      <c r="AS15" s="43">
        <f t="shared" si="15"/>
        <v>7.123647604327675E-2</v>
      </c>
      <c r="AT15" s="38">
        <v>2793.82</v>
      </c>
      <c r="AU15" s="38">
        <v>3.8200000000001602</v>
      </c>
      <c r="AV15" s="38">
        <v>-141.18</v>
      </c>
      <c r="AW15" s="39">
        <f t="shared" si="16"/>
        <v>-4.8102214650766612E-2</v>
      </c>
      <c r="AZ15" s="2"/>
    </row>
    <row r="16" spans="1:52" x14ac:dyDescent="0.25">
      <c r="B16" s="5"/>
      <c r="C16" s="5"/>
      <c r="D16" s="5"/>
      <c r="E16" s="5"/>
      <c r="F16" s="5"/>
      <c r="G16" s="5"/>
      <c r="H16" s="5"/>
      <c r="O16" s="2"/>
      <c r="P16" s="2"/>
      <c r="Q16" s="6"/>
      <c r="R16" s="6"/>
      <c r="S16" s="6"/>
      <c r="T16" s="6"/>
    </row>
    <row r="18" spans="1:52" s="1" customFormat="1" ht="36.75" customHeight="1" x14ac:dyDescent="0.25">
      <c r="A18" s="65" t="s">
        <v>43</v>
      </c>
      <c r="B18" s="67" t="s">
        <v>57</v>
      </c>
      <c r="C18" s="67"/>
      <c r="D18" s="67"/>
      <c r="E18" s="67"/>
      <c r="F18" s="47"/>
      <c r="G18" s="59"/>
      <c r="H18" s="74"/>
      <c r="I18" s="74"/>
      <c r="J18" s="48"/>
      <c r="K18" s="59"/>
      <c r="L18" s="59"/>
      <c r="M18" s="5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</row>
    <row r="19" spans="1:52" s="1" customFormat="1" ht="36.75" customHeight="1" x14ac:dyDescent="0.25">
      <c r="A19" s="65"/>
      <c r="B19" s="17">
        <v>46112</v>
      </c>
      <c r="C19" s="58" t="s">
        <v>4</v>
      </c>
      <c r="D19" s="67" t="s">
        <v>25</v>
      </c>
      <c r="E19" s="67"/>
      <c r="F19" s="47"/>
      <c r="G19" s="59"/>
      <c r="H19" s="74"/>
      <c r="I19" s="74"/>
      <c r="J19" s="48"/>
      <c r="K19" s="59"/>
      <c r="L19" s="59"/>
      <c r="M19" s="59"/>
      <c r="N19" s="48"/>
      <c r="O19" s="59"/>
      <c r="P19" s="74"/>
      <c r="Q19" s="74"/>
      <c r="R19" s="48"/>
      <c r="S19" s="59"/>
      <c r="T19" s="74"/>
      <c r="U19" s="74"/>
      <c r="V19" s="48"/>
      <c r="W19" s="59"/>
      <c r="X19" s="74"/>
      <c r="Y19" s="74"/>
      <c r="Z19" s="48"/>
      <c r="AA19" s="59"/>
      <c r="AB19" s="74"/>
      <c r="AC19" s="74"/>
      <c r="AD19" s="48"/>
      <c r="AE19" s="59"/>
      <c r="AF19" s="74"/>
      <c r="AG19" s="74"/>
      <c r="AH19" s="48"/>
      <c r="AI19" s="59"/>
      <c r="AJ19" s="74"/>
      <c r="AK19" s="74"/>
      <c r="AL19" s="48"/>
      <c r="AM19" s="59"/>
      <c r="AN19" s="74"/>
      <c r="AO19" s="74"/>
      <c r="AP19" s="48"/>
      <c r="AQ19" s="59"/>
      <c r="AR19" s="74"/>
      <c r="AS19" s="74"/>
      <c r="AT19" s="48"/>
      <c r="AU19" s="59"/>
      <c r="AV19" s="74"/>
      <c r="AW19" s="74"/>
    </row>
    <row r="20" spans="1:52" s="1" customFormat="1" ht="50.25" customHeight="1" x14ac:dyDescent="0.25">
      <c r="A20" s="9" t="s">
        <v>51</v>
      </c>
      <c r="B20" s="36">
        <v>57124</v>
      </c>
      <c r="C20" s="36">
        <v>378</v>
      </c>
      <c r="D20" s="36">
        <v>3987</v>
      </c>
      <c r="E20" s="37">
        <f>D20/(B20-D20)</f>
        <v>7.5032463255358783E-2</v>
      </c>
      <c r="F20" s="49"/>
      <c r="G20" s="50"/>
      <c r="H20" s="50"/>
      <c r="I20" s="51"/>
      <c r="J20" s="50"/>
      <c r="K20" s="50"/>
      <c r="L20" s="50"/>
      <c r="M20" s="51"/>
      <c r="N20" s="50"/>
      <c r="O20" s="50"/>
      <c r="P20" s="50"/>
      <c r="Q20" s="51"/>
      <c r="R20" s="50"/>
      <c r="S20" s="50"/>
      <c r="T20" s="50"/>
      <c r="U20" s="51"/>
      <c r="V20" s="50"/>
      <c r="W20" s="50"/>
      <c r="X20" s="50"/>
      <c r="Y20" s="51"/>
      <c r="Z20" s="50"/>
      <c r="AA20" s="50"/>
      <c r="AB20" s="50"/>
      <c r="AC20" s="51"/>
      <c r="AD20" s="50"/>
      <c r="AE20" s="50"/>
      <c r="AF20" s="50"/>
      <c r="AG20" s="51"/>
      <c r="AH20" s="50"/>
      <c r="AI20" s="50"/>
      <c r="AJ20" s="50"/>
      <c r="AK20" s="51"/>
      <c r="AL20" s="50"/>
      <c r="AM20" s="50"/>
      <c r="AN20" s="50"/>
      <c r="AO20" s="51"/>
      <c r="AP20" s="50"/>
      <c r="AQ20" s="50"/>
      <c r="AR20" s="50"/>
      <c r="AS20" s="51"/>
      <c r="AT20" s="50"/>
      <c r="AU20" s="50"/>
      <c r="AV20" s="50"/>
      <c r="AW20" s="51"/>
    </row>
    <row r="21" spans="1:52" s="2" customFormat="1" ht="50.15" customHeight="1" x14ac:dyDescent="0.25">
      <c r="A21" s="9" t="s">
        <v>52</v>
      </c>
      <c r="B21" s="36">
        <v>30732.301047797901</v>
      </c>
      <c r="C21" s="36">
        <v>232.19456958106801</v>
      </c>
      <c r="D21" s="36">
        <v>2367.4788544551202</v>
      </c>
      <c r="E21" s="37">
        <f>D21/(B21-D21)</f>
        <v>8.3465316239872883E-2</v>
      </c>
      <c r="F21" s="49"/>
      <c r="G21" s="50"/>
      <c r="H21" s="50"/>
      <c r="I21" s="51"/>
      <c r="J21" s="50"/>
      <c r="K21" s="50"/>
      <c r="L21" s="50"/>
      <c r="M21" s="51"/>
      <c r="N21" s="50"/>
      <c r="O21" s="50"/>
      <c r="P21" s="50"/>
      <c r="Q21" s="51"/>
      <c r="R21" s="50"/>
      <c r="S21" s="50"/>
      <c r="T21" s="50"/>
      <c r="U21" s="51"/>
      <c r="V21" s="50"/>
      <c r="W21" s="50"/>
      <c r="X21" s="50"/>
      <c r="Y21" s="51"/>
      <c r="Z21" s="50"/>
      <c r="AA21" s="50"/>
      <c r="AB21" s="50"/>
      <c r="AC21" s="51"/>
      <c r="AD21" s="50"/>
      <c r="AE21" s="50"/>
      <c r="AF21" s="50"/>
      <c r="AG21" s="51"/>
      <c r="AH21" s="50"/>
      <c r="AI21" s="50"/>
      <c r="AJ21" s="50"/>
      <c r="AK21" s="51"/>
      <c r="AL21" s="50"/>
      <c r="AM21" s="50"/>
      <c r="AN21" s="50"/>
      <c r="AO21" s="51"/>
      <c r="AP21" s="50"/>
      <c r="AQ21" s="50"/>
      <c r="AR21" s="50"/>
      <c r="AS21" s="51"/>
      <c r="AT21" s="50"/>
      <c r="AU21" s="50"/>
      <c r="AV21" s="50"/>
      <c r="AW21" s="51"/>
    </row>
    <row r="22" spans="1:52" s="2" customFormat="1" ht="50.15" customHeight="1" x14ac:dyDescent="0.25">
      <c r="A22" s="9" t="s">
        <v>53</v>
      </c>
      <c r="B22" s="36">
        <v>33487.980000000003</v>
      </c>
      <c r="C22" s="36">
        <v>196.900000000001</v>
      </c>
      <c r="D22" s="36">
        <v>2011.16</v>
      </c>
      <c r="E22" s="37">
        <f t="shared" ref="E22:E30" si="18">D22/(B22-D22)</f>
        <v>6.389336661073132E-2</v>
      </c>
      <c r="F22" s="49"/>
      <c r="G22" s="50"/>
      <c r="H22" s="50"/>
      <c r="I22" s="51"/>
      <c r="J22" s="50"/>
      <c r="K22" s="50"/>
      <c r="L22" s="50"/>
      <c r="M22" s="51"/>
      <c r="N22" s="50"/>
      <c r="O22" s="50"/>
      <c r="P22" s="50"/>
      <c r="Q22" s="51"/>
      <c r="R22" s="50"/>
      <c r="S22" s="50"/>
      <c r="T22" s="50"/>
      <c r="U22" s="51"/>
      <c r="V22" s="50"/>
      <c r="W22" s="50"/>
      <c r="X22" s="50"/>
      <c r="Y22" s="51"/>
      <c r="Z22" s="50"/>
      <c r="AA22" s="50"/>
      <c r="AB22" s="50"/>
      <c r="AC22" s="51"/>
      <c r="AD22" s="50"/>
      <c r="AE22" s="50"/>
      <c r="AF22" s="50"/>
      <c r="AG22" s="51"/>
      <c r="AH22" s="50"/>
      <c r="AI22" s="50"/>
      <c r="AJ22" s="50"/>
      <c r="AK22" s="51"/>
      <c r="AL22" s="50"/>
      <c r="AM22" s="50"/>
      <c r="AN22" s="50"/>
      <c r="AO22" s="51"/>
      <c r="AP22" s="50"/>
      <c r="AQ22" s="50"/>
      <c r="AR22" s="50"/>
      <c r="AS22" s="51"/>
      <c r="AT22" s="50"/>
      <c r="AU22" s="50"/>
      <c r="AV22" s="50"/>
      <c r="AW22" s="51"/>
    </row>
    <row r="23" spans="1:52" s="2" customFormat="1" ht="50.15" customHeight="1" x14ac:dyDescent="0.25">
      <c r="A23" s="9" t="s">
        <v>8</v>
      </c>
      <c r="B23" s="36">
        <v>25442.667421446</v>
      </c>
      <c r="C23" s="36">
        <v>70.909982037501294</v>
      </c>
      <c r="D23" s="36">
        <v>1491.9997428455999</v>
      </c>
      <c r="E23" s="37">
        <f t="shared" si="18"/>
        <v>6.2294703549274404E-2</v>
      </c>
      <c r="F23" s="49"/>
      <c r="G23" s="50"/>
      <c r="H23" s="50"/>
      <c r="I23" s="51"/>
      <c r="J23" s="50"/>
      <c r="K23" s="50"/>
      <c r="L23" s="50"/>
      <c r="M23" s="51"/>
      <c r="N23" s="50"/>
      <c r="O23" s="50"/>
      <c r="P23" s="50"/>
      <c r="Q23" s="51"/>
      <c r="R23" s="50"/>
      <c r="S23" s="50"/>
      <c r="T23" s="50"/>
      <c r="U23" s="51"/>
      <c r="V23" s="50"/>
      <c r="W23" s="50"/>
      <c r="X23" s="50"/>
      <c r="Y23" s="51"/>
      <c r="Z23" s="50"/>
      <c r="AA23" s="50"/>
      <c r="AB23" s="50"/>
      <c r="AC23" s="51"/>
      <c r="AD23" s="50"/>
      <c r="AE23" s="50"/>
      <c r="AF23" s="50"/>
      <c r="AG23" s="51"/>
      <c r="AH23" s="50"/>
      <c r="AI23" s="50"/>
      <c r="AJ23" s="50"/>
      <c r="AK23" s="51"/>
      <c r="AL23" s="50"/>
      <c r="AM23" s="50"/>
      <c r="AN23" s="50"/>
      <c r="AO23" s="51"/>
      <c r="AP23" s="50"/>
      <c r="AQ23" s="50"/>
      <c r="AR23" s="50"/>
      <c r="AS23" s="51"/>
      <c r="AT23" s="50"/>
      <c r="AU23" s="50"/>
      <c r="AV23" s="50"/>
      <c r="AW23" s="51"/>
    </row>
    <row r="24" spans="1:52" s="2" customFormat="1" ht="50.15" customHeight="1" x14ac:dyDescent="0.25">
      <c r="A24" s="9" t="s">
        <v>7</v>
      </c>
      <c r="B24" s="36">
        <v>28830.9990817</v>
      </c>
      <c r="C24" s="36">
        <v>212.65428120000001</v>
      </c>
      <c r="D24" s="36">
        <v>2630.8161003999999</v>
      </c>
      <c r="E24" s="37">
        <f t="shared" si="18"/>
        <v>0.1004121269793309</v>
      </c>
      <c r="F24" s="49"/>
      <c r="G24" s="50"/>
      <c r="H24" s="50"/>
      <c r="I24" s="51"/>
      <c r="J24" s="50"/>
      <c r="K24" s="50"/>
      <c r="L24" s="50"/>
      <c r="M24" s="51"/>
      <c r="N24" s="50"/>
      <c r="O24" s="50"/>
      <c r="P24" s="50"/>
      <c r="Q24" s="51"/>
      <c r="R24" s="50"/>
      <c r="S24" s="50"/>
      <c r="T24" s="50"/>
      <c r="U24" s="51"/>
      <c r="V24" s="50"/>
      <c r="W24" s="50"/>
      <c r="X24" s="50"/>
      <c r="Y24" s="51"/>
      <c r="Z24" s="50"/>
      <c r="AA24" s="50"/>
      <c r="AB24" s="50"/>
      <c r="AC24" s="51"/>
      <c r="AD24" s="50"/>
      <c r="AE24" s="50"/>
      <c r="AF24" s="50"/>
      <c r="AG24" s="54"/>
      <c r="AH24" s="50"/>
      <c r="AI24" s="50"/>
      <c r="AJ24" s="50"/>
      <c r="AK24" s="51"/>
      <c r="AL24" s="50"/>
      <c r="AM24" s="50"/>
      <c r="AN24" s="50"/>
      <c r="AO24" s="51"/>
      <c r="AP24" s="50"/>
      <c r="AQ24" s="50"/>
      <c r="AR24" s="50"/>
      <c r="AS24" s="51"/>
      <c r="AT24" s="50"/>
      <c r="AU24" s="50"/>
      <c r="AV24" s="50"/>
      <c r="AW24" s="51"/>
    </row>
    <row r="25" spans="1:52" s="2" customFormat="1" ht="50.15" customHeight="1" x14ac:dyDescent="0.25">
      <c r="A25" s="9" t="s">
        <v>9</v>
      </c>
      <c r="B25" s="36">
        <v>36455.396905147201</v>
      </c>
      <c r="C25" s="36">
        <v>186.28756359659701</v>
      </c>
      <c r="D25" s="36">
        <v>2204.4721934902</v>
      </c>
      <c r="E25" s="37">
        <f t="shared" si="18"/>
        <v>6.4362413921628434E-2</v>
      </c>
      <c r="F25" s="49"/>
      <c r="G25" s="50"/>
      <c r="H25" s="50"/>
      <c r="I25" s="51"/>
      <c r="J25" s="50"/>
      <c r="K25" s="50"/>
      <c r="L25" s="50"/>
      <c r="M25" s="51"/>
      <c r="N25" s="50"/>
      <c r="O25" s="50"/>
      <c r="P25" s="50"/>
      <c r="Q25" s="51"/>
      <c r="R25" s="50"/>
      <c r="S25" s="50"/>
      <c r="T25" s="50"/>
      <c r="U25" s="51"/>
      <c r="V25" s="50"/>
      <c r="W25" s="50"/>
      <c r="X25" s="50"/>
      <c r="Y25" s="51"/>
      <c r="Z25" s="50"/>
      <c r="AA25" s="50"/>
      <c r="AB25" s="50"/>
      <c r="AC25" s="51"/>
      <c r="AD25" s="50"/>
      <c r="AE25" s="50"/>
      <c r="AF25" s="50"/>
      <c r="AG25" s="52"/>
      <c r="AH25" s="50"/>
      <c r="AI25" s="50"/>
      <c r="AJ25" s="50"/>
      <c r="AK25" s="51"/>
      <c r="AL25" s="50"/>
      <c r="AM25" s="50"/>
      <c r="AN25" s="50"/>
      <c r="AO25" s="51"/>
      <c r="AP25" s="50"/>
      <c r="AQ25" s="50"/>
      <c r="AR25" s="50"/>
      <c r="AS25" s="51"/>
      <c r="AT25" s="50"/>
      <c r="AU25" s="50"/>
      <c r="AV25" s="50"/>
      <c r="AW25" s="51"/>
    </row>
    <row r="26" spans="1:52" s="2" customFormat="1" ht="50.15" customHeight="1" x14ac:dyDescent="0.25">
      <c r="A26" s="9" t="s">
        <v>10</v>
      </c>
      <c r="B26" s="36">
        <v>23337.4115853943</v>
      </c>
      <c r="C26" s="36">
        <v>48.735362381400002</v>
      </c>
      <c r="D26" s="36">
        <v>571.890748487</v>
      </c>
      <c r="E26" s="37">
        <f t="shared" si="18"/>
        <v>2.5120916520383525E-2</v>
      </c>
      <c r="F26" s="49"/>
      <c r="G26" s="50"/>
      <c r="H26" s="50"/>
      <c r="I26" s="51"/>
      <c r="J26" s="50"/>
      <c r="K26" s="50"/>
      <c r="L26" s="50"/>
      <c r="M26" s="51"/>
      <c r="N26" s="50"/>
      <c r="O26" s="50"/>
      <c r="P26" s="50"/>
      <c r="Q26" s="51"/>
      <c r="R26" s="50"/>
      <c r="S26" s="50"/>
      <c r="T26" s="50"/>
      <c r="U26" s="51"/>
      <c r="V26" s="50"/>
      <c r="W26" s="50"/>
      <c r="X26" s="50"/>
      <c r="Y26" s="51"/>
      <c r="Z26" s="50"/>
      <c r="AA26" s="50"/>
      <c r="AB26" s="50"/>
      <c r="AC26" s="51"/>
      <c r="AD26" s="50"/>
      <c r="AE26" s="50"/>
      <c r="AF26" s="50"/>
      <c r="AG26" s="51"/>
      <c r="AH26" s="50"/>
      <c r="AI26" s="50"/>
      <c r="AJ26" s="50"/>
      <c r="AK26" s="51"/>
      <c r="AL26" s="50"/>
      <c r="AM26" s="50"/>
      <c r="AN26" s="50"/>
      <c r="AO26" s="51"/>
      <c r="AP26" s="50"/>
      <c r="AQ26" s="50"/>
      <c r="AR26" s="50"/>
      <c r="AS26" s="51"/>
      <c r="AT26" s="50"/>
      <c r="AU26" s="50"/>
      <c r="AV26" s="50"/>
      <c r="AW26" s="51"/>
    </row>
    <row r="27" spans="1:52" s="2" customFormat="1" ht="50.15" customHeight="1" x14ac:dyDescent="0.25">
      <c r="A27" s="15" t="s">
        <v>11</v>
      </c>
      <c r="B27" s="36">
        <v>13772.5659999163</v>
      </c>
      <c r="C27" s="36">
        <v>-122.367540270199</v>
      </c>
      <c r="D27" s="36">
        <v>270.474741796133</v>
      </c>
      <c r="E27" s="37">
        <f t="shared" si="18"/>
        <v>2.0032062931989836E-2</v>
      </c>
      <c r="F27" s="49"/>
      <c r="G27" s="50"/>
      <c r="H27" s="50"/>
      <c r="I27" s="51"/>
      <c r="J27" s="50"/>
      <c r="K27" s="50"/>
      <c r="L27" s="50"/>
      <c r="M27" s="51"/>
      <c r="N27" s="50"/>
      <c r="O27" s="50"/>
      <c r="P27" s="50"/>
      <c r="Q27" s="51"/>
      <c r="R27" s="50"/>
      <c r="S27" s="50"/>
      <c r="T27" s="50"/>
      <c r="U27" s="51"/>
      <c r="V27" s="50"/>
      <c r="W27" s="50"/>
      <c r="X27" s="50"/>
      <c r="Y27" s="51"/>
      <c r="Z27" s="50"/>
      <c r="AA27" s="50"/>
      <c r="AB27" s="50"/>
      <c r="AC27" s="51"/>
      <c r="AD27" s="50"/>
      <c r="AE27" s="50"/>
      <c r="AF27" s="50"/>
      <c r="AG27" s="51"/>
      <c r="AH27" s="50"/>
      <c r="AI27" s="50"/>
      <c r="AJ27" s="50"/>
      <c r="AK27" s="51"/>
      <c r="AL27" s="50"/>
      <c r="AM27" s="50"/>
      <c r="AN27" s="50"/>
      <c r="AO27" s="51"/>
      <c r="AP27" s="50"/>
      <c r="AQ27" s="50"/>
      <c r="AR27" s="50"/>
      <c r="AS27" s="51"/>
      <c r="AT27" s="50"/>
      <c r="AU27" s="50"/>
      <c r="AV27" s="50"/>
      <c r="AW27" s="51"/>
    </row>
    <row r="28" spans="1:52" s="2" customFormat="1" ht="50.15" customHeight="1" x14ac:dyDescent="0.25">
      <c r="A28" s="15" t="s">
        <v>54</v>
      </c>
      <c r="B28" s="36">
        <v>17359.5429</v>
      </c>
      <c r="C28" s="36">
        <v>187.839100000001</v>
      </c>
      <c r="D28" s="36">
        <v>2670.1878000000002</v>
      </c>
      <c r="E28" s="37">
        <f t="shared" si="18"/>
        <v>0.18177706113183961</v>
      </c>
      <c r="F28" s="49"/>
      <c r="G28" s="50"/>
      <c r="H28" s="50"/>
      <c r="I28" s="51"/>
      <c r="J28" s="50"/>
      <c r="K28" s="50"/>
      <c r="L28" s="50"/>
      <c r="M28" s="51"/>
      <c r="N28" s="50"/>
      <c r="O28" s="50"/>
      <c r="P28" s="50"/>
      <c r="Q28" s="51"/>
      <c r="R28" s="50"/>
      <c r="S28" s="50"/>
      <c r="T28" s="50"/>
      <c r="U28" s="51"/>
      <c r="V28" s="50"/>
      <c r="W28" s="50"/>
      <c r="X28" s="50"/>
      <c r="Y28" s="51"/>
      <c r="Z28" s="50"/>
      <c r="AA28" s="50"/>
      <c r="AB28" s="50"/>
      <c r="AC28" s="51"/>
      <c r="AD28" s="50"/>
      <c r="AE28" s="50"/>
      <c r="AF28" s="50"/>
      <c r="AG28" s="52"/>
      <c r="AH28" s="50"/>
      <c r="AI28" s="50"/>
      <c r="AJ28" s="50"/>
      <c r="AK28" s="51"/>
      <c r="AL28" s="50"/>
      <c r="AM28" s="50"/>
      <c r="AN28" s="50"/>
      <c r="AO28" s="51"/>
      <c r="AP28" s="50"/>
      <c r="AQ28" s="50"/>
      <c r="AR28" s="50"/>
      <c r="AS28" s="51"/>
      <c r="AT28" s="50"/>
      <c r="AU28" s="50"/>
      <c r="AV28" s="50"/>
      <c r="AW28" s="51"/>
    </row>
    <row r="29" spans="1:52" ht="50.15" customHeight="1" x14ac:dyDescent="0.25">
      <c r="A29" s="16" t="s">
        <v>55</v>
      </c>
      <c r="B29" s="36">
        <v>13134</v>
      </c>
      <c r="C29" s="36">
        <v>119</v>
      </c>
      <c r="D29" s="36">
        <v>1480</v>
      </c>
      <c r="E29" s="37">
        <f t="shared" si="18"/>
        <v>0.12699502316801098</v>
      </c>
      <c r="F29" s="49"/>
      <c r="G29" s="50"/>
      <c r="H29" s="50"/>
      <c r="I29" s="51"/>
      <c r="J29" s="50"/>
      <c r="K29" s="50"/>
      <c r="L29" s="50"/>
      <c r="M29" s="51"/>
      <c r="N29" s="50"/>
      <c r="O29" s="50"/>
      <c r="P29" s="50"/>
      <c r="Q29" s="51"/>
      <c r="R29" s="50"/>
      <c r="S29" s="50"/>
      <c r="T29" s="50"/>
      <c r="U29" s="51"/>
      <c r="V29" s="50"/>
      <c r="W29" s="50"/>
      <c r="X29" s="50"/>
      <c r="Y29" s="51"/>
      <c r="Z29" s="50"/>
      <c r="AA29" s="50"/>
      <c r="AB29" s="50"/>
      <c r="AC29" s="51"/>
      <c r="AD29" s="50"/>
      <c r="AE29" s="50"/>
      <c r="AF29" s="50"/>
      <c r="AG29" s="54"/>
      <c r="AH29" s="50"/>
      <c r="AI29" s="50"/>
      <c r="AJ29" s="50"/>
      <c r="AK29" s="51"/>
      <c r="AL29" s="50"/>
      <c r="AM29" s="50"/>
      <c r="AN29" s="50"/>
      <c r="AO29" s="51"/>
      <c r="AP29" s="50"/>
      <c r="AQ29" s="50"/>
      <c r="AR29" s="50"/>
      <c r="AS29" s="51"/>
      <c r="AT29" s="50"/>
      <c r="AU29" s="50"/>
      <c r="AV29" s="50"/>
      <c r="AW29" s="51"/>
      <c r="AZ29" s="2"/>
    </row>
    <row r="30" spans="1:52" ht="50.15" customHeight="1" x14ac:dyDescent="0.25">
      <c r="A30" s="16" t="s">
        <v>58</v>
      </c>
      <c r="B30" s="36">
        <v>11803</v>
      </c>
      <c r="C30" s="36">
        <v>112</v>
      </c>
      <c r="D30" s="36">
        <v>769</v>
      </c>
      <c r="E30" s="37">
        <f t="shared" si="18"/>
        <v>6.9693674098241801E-2</v>
      </c>
      <c r="F30" s="49"/>
      <c r="G30" s="50"/>
      <c r="H30" s="50"/>
      <c r="I30" s="51"/>
      <c r="J30" s="50"/>
      <c r="K30" s="50"/>
      <c r="L30" s="50"/>
      <c r="M30" s="51"/>
      <c r="N30" s="50"/>
      <c r="O30" s="50"/>
      <c r="P30" s="50"/>
      <c r="Q30" s="51"/>
      <c r="R30" s="50"/>
      <c r="S30" s="50"/>
      <c r="T30" s="50"/>
      <c r="U30" s="51"/>
      <c r="V30" s="50"/>
      <c r="W30" s="50"/>
      <c r="X30" s="50"/>
      <c r="Y30" s="51"/>
      <c r="Z30" s="50"/>
      <c r="AA30" s="50"/>
      <c r="AB30" s="50"/>
      <c r="AC30" s="51"/>
      <c r="AD30" s="50"/>
      <c r="AE30" s="50"/>
      <c r="AF30" s="50"/>
      <c r="AG30" s="54"/>
      <c r="AH30" s="50"/>
      <c r="AI30" s="50"/>
      <c r="AJ30" s="50"/>
      <c r="AK30" s="51"/>
      <c r="AL30" s="50"/>
      <c r="AM30" s="50"/>
      <c r="AN30" s="50"/>
      <c r="AO30" s="51"/>
      <c r="AP30" s="50"/>
      <c r="AQ30" s="50"/>
      <c r="AR30" s="50"/>
      <c r="AS30" s="51"/>
      <c r="AT30" s="50"/>
      <c r="AU30" s="50"/>
      <c r="AV30" s="50"/>
      <c r="AW30" s="51"/>
      <c r="AZ30" s="2"/>
    </row>
  </sheetData>
  <mergeCells count="49">
    <mergeCell ref="X4:Y4"/>
    <mergeCell ref="A1:AW1"/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D4:E4"/>
    <mergeCell ref="H4:I4"/>
    <mergeCell ref="L4:M4"/>
    <mergeCell ref="P4:Q4"/>
    <mergeCell ref="T4:U4"/>
    <mergeCell ref="AV4:AW4"/>
    <mergeCell ref="AH3:AK3"/>
    <mergeCell ref="AL3:AO3"/>
    <mergeCell ref="AP3:AS3"/>
    <mergeCell ref="AT3:AW3"/>
    <mergeCell ref="AB4:AC4"/>
    <mergeCell ref="AF4:AG4"/>
    <mergeCell ref="AJ4:AK4"/>
    <mergeCell ref="AN4:AO4"/>
    <mergeCell ref="AR4:AS4"/>
    <mergeCell ref="AT18:AW18"/>
    <mergeCell ref="A18:A19"/>
    <mergeCell ref="B18:E18"/>
    <mergeCell ref="H18:I18"/>
    <mergeCell ref="N18:Q18"/>
    <mergeCell ref="R18:U18"/>
    <mergeCell ref="V18:Y18"/>
    <mergeCell ref="D19:E19"/>
    <mergeCell ref="H19:I19"/>
    <mergeCell ref="P19:Q19"/>
    <mergeCell ref="T19:U19"/>
    <mergeCell ref="Z18:AC18"/>
    <mergeCell ref="AD18:AG18"/>
    <mergeCell ref="AH18:AK18"/>
    <mergeCell ref="AL18:AO18"/>
    <mergeCell ref="AP18:AS18"/>
    <mergeCell ref="AV19:AW19"/>
    <mergeCell ref="X19:Y19"/>
    <mergeCell ref="AB19:AC19"/>
    <mergeCell ref="AF19:AG19"/>
    <mergeCell ref="AJ19:AK19"/>
    <mergeCell ref="AN19:AO19"/>
    <mergeCell ref="AR19:AS19"/>
  </mergeCells>
  <phoneticPr fontId="5" type="noConversion"/>
  <printOptions horizontalCentered="1" verticalCentered="1"/>
  <pageMargins left="0" right="0" top="0" bottom="0" header="0.31496062992125984" footer="0.31496062992125984"/>
  <pageSetup paperSize="8" scale="64" orientation="landscape" copies="2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余额</vt:lpstr>
      <vt:lpstr>年日均</vt:lpstr>
      <vt:lpstr>年日均!Print_Area</vt:lpstr>
      <vt:lpstr>余额!Print_Area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谷科达</dc:creator>
  <cp:lastModifiedBy>jgx</cp:lastModifiedBy>
  <cp:lastPrinted>2022-05-23T08:03:35Z</cp:lastPrinted>
  <dcterms:created xsi:type="dcterms:W3CDTF">2015-09-11T03:34:00Z</dcterms:created>
  <dcterms:modified xsi:type="dcterms:W3CDTF">2026-04-01T11:15:08Z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2052-10.8.0.5391</vt:lpwstr>
  </property>
  <property fmtid="{D5CDD505-2E9C-101B-9397-08002B2CF9AE}" pid="3" name="EM_Doc_Temp_ID">
    <vt:lpwstr>6aa0de2f</vt:lpwstr>
  </property>
</Properties>
</file>